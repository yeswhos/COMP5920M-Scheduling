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R\COMP5920M-Scheduling\CW2\"/>
    </mc:Choice>
  </mc:AlternateContent>
  <xr:revisionPtr revIDLastSave="0" documentId="13_ncr:1_{042146F4-526A-490B-929D-9DE88D9CBE02}" xr6:coauthVersionLast="45" xr6:coauthVersionMax="45" xr10:uidLastSave="{00000000-0000-0000-0000-000000000000}"/>
  <bookViews>
    <workbookView xWindow="-109" yWindow="-109" windowWidth="23452" windowHeight="13287" xr2:uid="{00000000-000D-0000-FFFF-FFFF00000000}"/>
  </bookViews>
  <sheets>
    <sheet name="coursework" sheetId="4" r:id="rId1"/>
    <sheet name="data" sheetId="5" r:id="rId2"/>
  </sheets>
  <functionGroups builtInGroupCount="19"/>
  <definedNames>
    <definedName name="eventEvent">data!$C$89:$AX$137</definedName>
    <definedName name="eventFeature">data!$C$15:$AX$18</definedName>
    <definedName name="eventMeta">data!$C$30:$AX$32</definedName>
    <definedName name="eventStudent">data!$C$35:$AX$85</definedName>
    <definedName name="_xlnm.Print_Area" localSheetId="0">data!$A$14:$O$50</definedName>
    <definedName name="problem">data!$B$35:$AX$85</definedName>
    <definedName name="roomEvent">data!$C$21:$AX$27</definedName>
    <definedName name="rooms">data!$C$8:$H$12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5" l="1"/>
  <c r="X5" i="4"/>
  <c r="D22" i="5"/>
  <c r="Y5" i="4"/>
  <c r="E22" i="5"/>
  <c r="Z5" i="4"/>
  <c r="F22" i="5"/>
  <c r="AA5" i="4"/>
  <c r="G22" i="5"/>
  <c r="AB5" i="4"/>
  <c r="H22" i="5"/>
  <c r="AC5" i="4"/>
  <c r="I22" i="5"/>
  <c r="AD5" i="4"/>
  <c r="J22" i="5"/>
  <c r="AE5" i="4"/>
  <c r="K22" i="5"/>
  <c r="AF5" i="4"/>
  <c r="L23" i="5"/>
  <c r="X6" i="4"/>
  <c r="M23" i="5"/>
  <c r="Y6" i="4"/>
  <c r="N23" i="5"/>
  <c r="Z6" i="4"/>
  <c r="O23" i="5"/>
  <c r="AA6" i="4"/>
  <c r="P23" i="5"/>
  <c r="AB6" i="4"/>
  <c r="Q23" i="5"/>
  <c r="AC6" i="4"/>
  <c r="R23" i="5"/>
  <c r="AD6" i="4"/>
  <c r="S23" i="5"/>
  <c r="AE6" i="4"/>
  <c r="T23" i="5"/>
  <c r="AF6" i="4"/>
  <c r="U24" i="5"/>
  <c r="X7" i="4"/>
  <c r="V24" i="5"/>
  <c r="Y7" i="4"/>
  <c r="W24" i="5"/>
  <c r="Z7" i="4"/>
  <c r="X24" i="5"/>
  <c r="AA7" i="4"/>
  <c r="Y24" i="5"/>
  <c r="AB7" i="4"/>
  <c r="Z24" i="5"/>
  <c r="AC7" i="4"/>
  <c r="AA24" i="5"/>
  <c r="AD7" i="4"/>
  <c r="AB24" i="5"/>
  <c r="AE7" i="4"/>
  <c r="AC24" i="5"/>
  <c r="AF7" i="4"/>
  <c r="AM26" i="5"/>
  <c r="X9" i="4"/>
  <c r="AN26" i="5"/>
  <c r="Y9" i="4"/>
  <c r="AO26" i="5"/>
  <c r="Z9" i="4"/>
  <c r="AP26" i="5"/>
  <c r="AA9" i="4"/>
  <c r="AB9" i="4"/>
  <c r="AC9" i="4"/>
  <c r="AD9" i="4"/>
  <c r="AE9" i="4"/>
  <c r="AF9" i="4"/>
  <c r="X10" i="4"/>
  <c r="Y10" i="4"/>
  <c r="Z10" i="4"/>
  <c r="AA10" i="4"/>
  <c r="AB10" i="4"/>
  <c r="AC10" i="4"/>
  <c r="AD10" i="4"/>
  <c r="AE10" i="4"/>
  <c r="AF10" i="4"/>
  <c r="C31" i="5"/>
  <c r="N5" i="4"/>
  <c r="D31" i="5"/>
  <c r="O5" i="4"/>
  <c r="E31" i="5"/>
  <c r="P5" i="4"/>
  <c r="F31" i="5"/>
  <c r="Q5" i="4"/>
  <c r="G31" i="5"/>
  <c r="R5" i="4"/>
  <c r="I31" i="5"/>
  <c r="T5" i="4"/>
  <c r="J31" i="5"/>
  <c r="U5" i="4"/>
  <c r="K31" i="5"/>
  <c r="V5" i="4"/>
  <c r="M31" i="5"/>
  <c r="O6" i="4"/>
  <c r="N31" i="5"/>
  <c r="P6" i="4"/>
  <c r="O31" i="5"/>
  <c r="Q6" i="4"/>
  <c r="P31" i="5"/>
  <c r="R6" i="4"/>
  <c r="Q31" i="5"/>
  <c r="S6" i="4"/>
  <c r="R31" i="5"/>
  <c r="T6" i="4"/>
  <c r="S31" i="5"/>
  <c r="U6" i="4"/>
  <c r="T31" i="5"/>
  <c r="V6" i="4"/>
  <c r="W31" i="5"/>
  <c r="P7" i="4"/>
  <c r="X31" i="5"/>
  <c r="Q7" i="4"/>
  <c r="Y31" i="5"/>
  <c r="R7" i="4"/>
  <c r="Z31" i="5"/>
  <c r="S7" i="4"/>
  <c r="AA31" i="5"/>
  <c r="T7" i="4"/>
  <c r="AB31" i="5"/>
  <c r="U7" i="4"/>
  <c r="AC31" i="5"/>
  <c r="V7" i="4"/>
  <c r="AD31" i="5"/>
  <c r="N8" i="4"/>
  <c r="AE31" i="5"/>
  <c r="O8" i="4"/>
  <c r="AG31" i="5"/>
  <c r="Q8" i="4"/>
  <c r="AH31" i="5"/>
  <c r="R8" i="4"/>
  <c r="AI31" i="5"/>
  <c r="S8" i="4"/>
  <c r="AJ31" i="5"/>
  <c r="T8" i="4"/>
  <c r="AK31" i="5"/>
  <c r="U8" i="4"/>
  <c r="AL31" i="5"/>
  <c r="V8" i="4"/>
  <c r="AM31" i="5"/>
  <c r="N9" i="4"/>
  <c r="AN31" i="5"/>
  <c r="O9" i="4"/>
  <c r="AO31" i="5"/>
  <c r="P9" i="4"/>
  <c r="R9" i="4"/>
  <c r="S9" i="4"/>
  <c r="T9" i="4"/>
  <c r="U9" i="4"/>
  <c r="V9" i="4"/>
  <c r="N10" i="4"/>
  <c r="O10" i="4"/>
  <c r="P10" i="4"/>
  <c r="Q10" i="4"/>
  <c r="R10" i="4"/>
  <c r="S10" i="4"/>
  <c r="T10" i="4"/>
  <c r="U10" i="4"/>
  <c r="V10" i="4"/>
  <c r="AN11" i="4"/>
  <c r="AE25" i="5"/>
  <c r="Y8" i="4" s="1"/>
  <c r="AF25" i="5"/>
  <c r="Z8" i="4" s="1"/>
  <c r="AG25" i="5"/>
  <c r="AA8" i="4"/>
  <c r="AH25" i="5"/>
  <c r="AB8" i="4" s="1"/>
  <c r="AI25" i="5"/>
  <c r="AC8" i="4" s="1"/>
  <c r="AJ25" i="5"/>
  <c r="AD8" i="4" s="1"/>
  <c r="AK25" i="5"/>
  <c r="AE8" i="4"/>
  <c r="AL25" i="5"/>
  <c r="AF8" i="4" s="1"/>
  <c r="AD25" i="5"/>
  <c r="X8" i="4" s="1"/>
  <c r="H31" i="5"/>
  <c r="S5" i="4" s="1"/>
  <c r="U31" i="5"/>
  <c r="N7" i="4"/>
  <c r="AP31" i="5"/>
  <c r="Q9" i="4" s="1"/>
  <c r="AF31" i="5"/>
  <c r="P8" i="4" s="1"/>
  <c r="L31" i="5"/>
  <c r="N6" i="4" s="1"/>
  <c r="V31" i="5"/>
  <c r="O7" i="4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AK22" i="5"/>
  <c r="X22" i="5"/>
  <c r="R22" i="5"/>
  <c r="M22" i="5"/>
  <c r="V22" i="5"/>
  <c r="AI23" i="5"/>
  <c r="K23" i="5"/>
  <c r="AF23" i="5"/>
  <c r="AC23" i="5"/>
  <c r="AB23" i="5"/>
  <c r="N24" i="5"/>
  <c r="J24" i="5"/>
  <c r="L24" i="5"/>
  <c r="AO24" i="5"/>
  <c r="F25" i="5"/>
  <c r="P25" i="5"/>
  <c r="U25" i="5"/>
  <c r="Q26" i="5"/>
  <c r="I26" i="5"/>
  <c r="Z26" i="5"/>
  <c r="AD26" i="5"/>
  <c r="W26" i="5"/>
  <c r="AP27" i="5"/>
  <c r="G27" i="5"/>
  <c r="E27" i="5"/>
  <c r="AN27" i="5"/>
  <c r="F27" i="5"/>
  <c r="L27" i="5"/>
  <c r="AD22" i="5"/>
  <c r="AJ22" i="5"/>
  <c r="R26" i="5"/>
  <c r="AN22" i="5"/>
  <c r="X26" i="5"/>
  <c r="AB22" i="5"/>
  <c r="K26" i="5"/>
  <c r="G24" i="5"/>
  <c r="H27" i="5"/>
  <c r="N27" i="5"/>
  <c r="U27" i="5"/>
  <c r="AG23" i="5"/>
  <c r="M25" i="5"/>
  <c r="T25" i="5"/>
  <c r="AP25" i="5"/>
  <c r="D23" i="5"/>
  <c r="Z23" i="5"/>
  <c r="P24" i="5"/>
  <c r="AA86" i="5"/>
  <c r="AT86" i="5"/>
  <c r="AF86" i="5"/>
  <c r="AV86" i="5"/>
  <c r="AX86" i="5"/>
  <c r="AR86" i="5"/>
  <c r="AL86" i="5"/>
  <c r="AS86" i="5"/>
  <c r="AJ86" i="5"/>
  <c r="AG86" i="5"/>
  <c r="AI86" i="5"/>
  <c r="H86" i="5"/>
  <c r="Y86" i="5"/>
  <c r="P86" i="5"/>
  <c r="R86" i="5"/>
  <c r="T86" i="5"/>
  <c r="W86" i="5"/>
  <c r="K86" i="5"/>
  <c r="AC86" i="5"/>
  <c r="I86" i="5"/>
  <c r="S86" i="5"/>
  <c r="C86" i="5"/>
  <c r="D86" i="5"/>
  <c r="E86" i="5"/>
  <c r="F86" i="5"/>
  <c r="G86" i="5"/>
  <c r="J86" i="5"/>
  <c r="L86" i="5"/>
  <c r="M86" i="5"/>
  <c r="N86" i="5"/>
  <c r="O86" i="5"/>
  <c r="Q86" i="5"/>
  <c r="U86" i="5"/>
  <c r="V86" i="5"/>
  <c r="X86" i="5"/>
  <c r="Z86" i="5"/>
  <c r="AB86" i="5"/>
  <c r="AD86" i="5"/>
  <c r="AE86" i="5"/>
  <c r="AH86" i="5"/>
  <c r="AK86" i="5"/>
  <c r="AM86" i="5"/>
  <c r="AN86" i="5"/>
  <c r="AO86" i="5"/>
  <c r="AP86" i="5"/>
  <c r="AQ86" i="5"/>
  <c r="AU86" i="5"/>
  <c r="AW86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85" i="5"/>
  <c r="AX27" i="5"/>
  <c r="AW27" i="5"/>
  <c r="AV27" i="5"/>
  <c r="AU27" i="5"/>
  <c r="AT27" i="5"/>
  <c r="AS27" i="5"/>
  <c r="AR27" i="5"/>
  <c r="AQ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T27" i="5"/>
  <c r="S27" i="5"/>
  <c r="R27" i="5"/>
  <c r="Q27" i="5"/>
  <c r="P27" i="5"/>
  <c r="O27" i="5"/>
  <c r="M27" i="5"/>
  <c r="K27" i="5"/>
  <c r="J27" i="5"/>
  <c r="I27" i="5"/>
  <c r="D27" i="5"/>
  <c r="AX26" i="5"/>
  <c r="AW26" i="5"/>
  <c r="AV26" i="5"/>
  <c r="AU26" i="5"/>
  <c r="AT26" i="5"/>
  <c r="AS26" i="5"/>
  <c r="AR26" i="5"/>
  <c r="AQ26" i="5"/>
  <c r="AL26" i="5"/>
  <c r="AK26" i="5"/>
  <c r="AJ26" i="5"/>
  <c r="AI26" i="5"/>
  <c r="AH26" i="5"/>
  <c r="AG26" i="5"/>
  <c r="AF26" i="5"/>
  <c r="AE26" i="5"/>
  <c r="AC26" i="5"/>
  <c r="AB26" i="5"/>
  <c r="AA26" i="5"/>
  <c r="Y26" i="5"/>
  <c r="V26" i="5"/>
  <c r="U26" i="5"/>
  <c r="T26" i="5"/>
  <c r="S26" i="5"/>
  <c r="P26" i="5"/>
  <c r="O26" i="5"/>
  <c r="N26" i="5"/>
  <c r="M26" i="5"/>
  <c r="L26" i="5"/>
  <c r="J26" i="5"/>
  <c r="H26" i="5"/>
  <c r="G26" i="5"/>
  <c r="F26" i="5"/>
  <c r="E26" i="5"/>
  <c r="D26" i="5"/>
  <c r="AX25" i="5"/>
  <c r="AW25" i="5"/>
  <c r="AV25" i="5"/>
  <c r="AU25" i="5"/>
  <c r="AT25" i="5"/>
  <c r="AS25" i="5"/>
  <c r="AR25" i="5"/>
  <c r="AQ25" i="5"/>
  <c r="AO25" i="5"/>
  <c r="AN25" i="5"/>
  <c r="AM25" i="5"/>
  <c r="AC25" i="5"/>
  <c r="AB25" i="5"/>
  <c r="AA25" i="5"/>
  <c r="Z25" i="5"/>
  <c r="Y25" i="5"/>
  <c r="X25" i="5"/>
  <c r="W25" i="5"/>
  <c r="V25" i="5"/>
  <c r="S25" i="5"/>
  <c r="R25" i="5"/>
  <c r="Q25" i="5"/>
  <c r="O25" i="5"/>
  <c r="N25" i="5"/>
  <c r="L25" i="5"/>
  <c r="K25" i="5"/>
  <c r="J25" i="5"/>
  <c r="I25" i="5"/>
  <c r="H25" i="5"/>
  <c r="G25" i="5"/>
  <c r="E25" i="5"/>
  <c r="D25" i="5"/>
  <c r="AX24" i="5"/>
  <c r="AW24" i="5"/>
  <c r="AV24" i="5"/>
  <c r="AU24" i="5"/>
  <c r="AT24" i="5"/>
  <c r="AS24" i="5"/>
  <c r="AR24" i="5"/>
  <c r="AQ24" i="5"/>
  <c r="AP24" i="5"/>
  <c r="AN24" i="5"/>
  <c r="AM24" i="5"/>
  <c r="AL24" i="5"/>
  <c r="AK24" i="5"/>
  <c r="AJ24" i="5"/>
  <c r="AI24" i="5"/>
  <c r="AH24" i="5"/>
  <c r="AG24" i="5"/>
  <c r="AF24" i="5"/>
  <c r="AE24" i="5"/>
  <c r="AD24" i="5"/>
  <c r="T24" i="5"/>
  <c r="S24" i="5"/>
  <c r="R24" i="5"/>
  <c r="Q24" i="5"/>
  <c r="O24" i="5"/>
  <c r="M24" i="5"/>
  <c r="K24" i="5"/>
  <c r="I24" i="5"/>
  <c r="H24" i="5"/>
  <c r="F24" i="5"/>
  <c r="E24" i="5"/>
  <c r="D24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H23" i="5"/>
  <c r="AE23" i="5"/>
  <c r="AD23" i="5"/>
  <c r="AA23" i="5"/>
  <c r="Y23" i="5"/>
  <c r="X23" i="5"/>
  <c r="W23" i="5"/>
  <c r="V23" i="5"/>
  <c r="U23" i="5"/>
  <c r="J23" i="5"/>
  <c r="I23" i="5"/>
  <c r="H23" i="5"/>
  <c r="G23" i="5"/>
  <c r="F23" i="5"/>
  <c r="E23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I22" i="5"/>
  <c r="AH22" i="5"/>
  <c r="AG22" i="5"/>
  <c r="AF22" i="5"/>
  <c r="AE22" i="5"/>
  <c r="AC22" i="5"/>
  <c r="AA22" i="5"/>
  <c r="Z22" i="5"/>
  <c r="Y22" i="5"/>
  <c r="W22" i="5"/>
  <c r="U22" i="5"/>
  <c r="T22" i="5"/>
  <c r="S22" i="5"/>
  <c r="Q22" i="5"/>
  <c r="P22" i="5"/>
  <c r="O22" i="5"/>
  <c r="N22" i="5"/>
  <c r="L22" i="5"/>
  <c r="C27" i="5"/>
  <c r="C26" i="5"/>
  <c r="C25" i="5"/>
  <c r="C24" i="5"/>
  <c r="C23" i="5"/>
  <c r="AS31" i="5"/>
  <c r="AR31" i="5"/>
  <c r="AW31" i="5"/>
  <c r="AX31" i="5"/>
  <c r="AU31" i="5"/>
  <c r="AQ31" i="5"/>
  <c r="AT31" i="5"/>
  <c r="AV31" i="5"/>
  <c r="AX32" i="5"/>
  <c r="AW32" i="5"/>
  <c r="AV32" i="5"/>
  <c r="AU32" i="5"/>
  <c r="AT32" i="5"/>
  <c r="AS32" i="5"/>
  <c r="AR32" i="5"/>
  <c r="AQ32" i="5"/>
  <c r="AY86" i="5" l="1"/>
  <c r="AL10" i="4"/>
  <c r="AM10" i="4" s="1"/>
  <c r="AL6" i="4"/>
  <c r="AM6" i="4" s="1"/>
  <c r="AL5" i="4"/>
  <c r="AM5" i="4" s="1"/>
  <c r="M99" i="5"/>
  <c r="AV124" i="5"/>
  <c r="S136" i="5"/>
  <c r="C97" i="5"/>
  <c r="T135" i="5"/>
  <c r="L100" i="5"/>
  <c r="AI131" i="5"/>
  <c r="AU122" i="5"/>
  <c r="T113" i="5"/>
  <c r="AW117" i="5"/>
  <c r="R106" i="5"/>
  <c r="AI124" i="5"/>
  <c r="R129" i="5"/>
  <c r="G101" i="5"/>
  <c r="AQ130" i="5"/>
  <c r="AM136" i="5"/>
  <c r="J128" i="5"/>
  <c r="K121" i="5"/>
  <c r="X120" i="5"/>
  <c r="P95" i="5"/>
  <c r="AV117" i="5"/>
  <c r="AK132" i="5"/>
  <c r="AE113" i="5"/>
  <c r="AS111" i="5"/>
  <c r="AT116" i="5"/>
  <c r="Q106" i="5"/>
  <c r="AM127" i="5"/>
  <c r="AD102" i="5"/>
  <c r="P127" i="5"/>
  <c r="AH103" i="5"/>
  <c r="M118" i="5"/>
  <c r="AH102" i="5"/>
  <c r="S124" i="5"/>
  <c r="AP120" i="5"/>
  <c r="AL133" i="5"/>
  <c r="O122" i="5"/>
  <c r="T128" i="5"/>
  <c r="D110" i="5"/>
  <c r="J102" i="5"/>
  <c r="V125" i="5"/>
  <c r="X121" i="5"/>
  <c r="AL104" i="5"/>
  <c r="AU130" i="5"/>
  <c r="AC123" i="5"/>
  <c r="AG97" i="5"/>
  <c r="U135" i="5"/>
  <c r="AJ104" i="5"/>
  <c r="K99" i="5"/>
  <c r="AU137" i="5"/>
  <c r="J109" i="5"/>
  <c r="K124" i="5"/>
  <c r="S131" i="5"/>
  <c r="AH91" i="5"/>
  <c r="J126" i="5"/>
  <c r="C108" i="5"/>
  <c r="AF106" i="5"/>
  <c r="D94" i="5"/>
  <c r="AA98" i="5"/>
  <c r="X118" i="5"/>
  <c r="AK125" i="5"/>
  <c r="AN91" i="5"/>
  <c r="AO127" i="5"/>
  <c r="U106" i="5"/>
  <c r="Y134" i="5"/>
  <c r="W136" i="5"/>
  <c r="AR118" i="5"/>
  <c r="O108" i="5"/>
  <c r="P102" i="5"/>
  <c r="P121" i="5"/>
  <c r="Z137" i="5"/>
  <c r="Q94" i="5"/>
  <c r="AG134" i="5"/>
  <c r="G126" i="5"/>
  <c r="AU125" i="5"/>
  <c r="AJ114" i="5"/>
  <c r="AU129" i="5"/>
  <c r="Y98" i="5"/>
  <c r="AB97" i="5"/>
  <c r="Y101" i="5"/>
  <c r="Z103" i="5"/>
  <c r="Y135" i="5"/>
  <c r="D132" i="5"/>
  <c r="AL130" i="5"/>
  <c r="K122" i="5"/>
  <c r="AH130" i="5"/>
  <c r="AW119" i="5"/>
  <c r="M98" i="5"/>
  <c r="D101" i="5"/>
  <c r="C137" i="5"/>
  <c r="L117" i="5"/>
  <c r="J134" i="5"/>
  <c r="N104" i="5"/>
  <c r="M125" i="5"/>
  <c r="Y105" i="5"/>
  <c r="AE129" i="5"/>
  <c r="AM108" i="5"/>
  <c r="J136" i="5"/>
  <c r="AK104" i="5"/>
  <c r="AX134" i="5"/>
  <c r="AG96" i="5"/>
  <c r="AD99" i="5"/>
  <c r="AM118" i="5"/>
  <c r="N114" i="5"/>
  <c r="X114" i="5"/>
  <c r="Y99" i="5"/>
  <c r="AM117" i="5"/>
  <c r="R124" i="5"/>
  <c r="AK117" i="5"/>
  <c r="AG130" i="5"/>
  <c r="G133" i="5"/>
  <c r="F102" i="5"/>
  <c r="R103" i="5"/>
  <c r="AF136" i="5"/>
  <c r="U120" i="5"/>
  <c r="L90" i="5"/>
  <c r="N129" i="5"/>
  <c r="AN128" i="5"/>
  <c r="AO117" i="5"/>
  <c r="S103" i="5"/>
  <c r="R97" i="5"/>
  <c r="AO110" i="5"/>
  <c r="E113" i="5"/>
  <c r="AJ96" i="5"/>
  <c r="AP112" i="5"/>
  <c r="J114" i="5"/>
  <c r="U95" i="5"/>
  <c r="D119" i="5"/>
  <c r="D124" i="5"/>
  <c r="AQ136" i="5"/>
  <c r="AC129" i="5"/>
  <c r="AW133" i="5"/>
  <c r="G128" i="5"/>
  <c r="AJ124" i="5"/>
  <c r="F123" i="5"/>
  <c r="V100" i="5"/>
  <c r="AT100" i="5"/>
  <c r="J113" i="5"/>
  <c r="G105" i="5"/>
  <c r="G134" i="5"/>
  <c r="AV113" i="5"/>
  <c r="AS112" i="5"/>
  <c r="AB128" i="5"/>
  <c r="AS114" i="5"/>
  <c r="O97" i="5"/>
  <c r="C98" i="5"/>
  <c r="K107" i="5"/>
  <c r="W130" i="5"/>
  <c r="AL112" i="5"/>
  <c r="AL127" i="5"/>
  <c r="AO136" i="5"/>
  <c r="U115" i="5"/>
  <c r="AC98" i="5"/>
  <c r="F126" i="5"/>
  <c r="P97" i="5"/>
  <c r="AD133" i="5"/>
  <c r="AW127" i="5"/>
  <c r="AA127" i="5"/>
  <c r="AP100" i="5"/>
  <c r="U94" i="5"/>
  <c r="AD107" i="5"/>
  <c r="P133" i="5"/>
  <c r="Y132" i="5"/>
  <c r="I114" i="5"/>
  <c r="AL93" i="5"/>
  <c r="O104" i="5"/>
  <c r="E134" i="5"/>
  <c r="AB132" i="5"/>
  <c r="AK136" i="5"/>
  <c r="Z134" i="5"/>
  <c r="AO131" i="5"/>
  <c r="M106" i="5"/>
  <c r="R126" i="5"/>
  <c r="W113" i="5"/>
  <c r="AP122" i="5"/>
  <c r="J100" i="5"/>
  <c r="AU132" i="5"/>
  <c r="AC107" i="5"/>
  <c r="F137" i="5"/>
  <c r="C117" i="5"/>
  <c r="T127" i="5"/>
  <c r="AN134" i="5"/>
  <c r="AM123" i="5"/>
  <c r="AE136" i="5"/>
  <c r="Y100" i="5"/>
  <c r="AJ120" i="5"/>
  <c r="C132" i="5"/>
  <c r="P106" i="5"/>
  <c r="J92" i="5"/>
  <c r="AE117" i="5"/>
  <c r="J130" i="5"/>
  <c r="S90" i="5"/>
  <c r="R109" i="5"/>
  <c r="H106" i="5"/>
  <c r="AA129" i="5"/>
  <c r="AU121" i="5"/>
  <c r="L103" i="5"/>
  <c r="AQ137" i="5"/>
  <c r="AO115" i="5"/>
  <c r="N115" i="5"/>
  <c r="H103" i="5"/>
  <c r="AB109" i="5"/>
  <c r="AM113" i="5"/>
  <c r="AA120" i="5"/>
  <c r="AC103" i="5"/>
  <c r="G91" i="5"/>
  <c r="E132" i="5"/>
  <c r="AH132" i="5"/>
  <c r="F104" i="5"/>
  <c r="AX123" i="5"/>
  <c r="AN129" i="5"/>
  <c r="AH105" i="5"/>
  <c r="T126" i="5"/>
  <c r="AH129" i="5"/>
  <c r="AN123" i="5"/>
  <c r="H90" i="5"/>
  <c r="N111" i="5"/>
  <c r="AH106" i="5"/>
  <c r="AP105" i="5"/>
  <c r="D100" i="5"/>
  <c r="AV131" i="5"/>
  <c r="R90" i="5"/>
  <c r="G124" i="5"/>
  <c r="F119" i="5"/>
  <c r="AJ129" i="5"/>
  <c r="AU100" i="5"/>
  <c r="Q92" i="5"/>
  <c r="AT131" i="5"/>
  <c r="AS115" i="5"/>
  <c r="C92" i="5"/>
  <c r="L94" i="5"/>
  <c r="E107" i="5"/>
  <c r="AO97" i="5"/>
  <c r="S98" i="5"/>
  <c r="AW103" i="5"/>
  <c r="I110" i="5"/>
  <c r="AI93" i="5"/>
  <c r="AQ97" i="5"/>
  <c r="AU120" i="5"/>
  <c r="AR96" i="5"/>
  <c r="X109" i="5"/>
  <c r="AS123" i="5"/>
  <c r="AH117" i="5"/>
  <c r="AL100" i="5"/>
  <c r="T93" i="5"/>
  <c r="AJ98" i="5"/>
  <c r="AD124" i="5"/>
  <c r="G102" i="5"/>
  <c r="AF114" i="5"/>
  <c r="O117" i="5"/>
  <c r="AH128" i="5"/>
  <c r="AE96" i="5"/>
  <c r="P135" i="5"/>
  <c r="AL129" i="5"/>
  <c r="AI137" i="5"/>
  <c r="G100" i="5"/>
  <c r="AN126" i="5"/>
  <c r="AM102" i="5"/>
  <c r="AE127" i="5"/>
  <c r="AF122" i="5"/>
  <c r="AO100" i="5"/>
  <c r="AD128" i="5"/>
  <c r="D98" i="5"/>
  <c r="AQ123" i="5"/>
  <c r="Q114" i="5"/>
  <c r="N133" i="5"/>
  <c r="AX105" i="5"/>
  <c r="AM109" i="5"/>
  <c r="AK134" i="5"/>
  <c r="P134" i="5"/>
  <c r="AI90" i="5"/>
  <c r="X125" i="5"/>
  <c r="E96" i="5"/>
  <c r="AV135" i="5"/>
  <c r="AJ128" i="5"/>
  <c r="AK124" i="5"/>
  <c r="AT115" i="5"/>
  <c r="Q102" i="5"/>
  <c r="M110" i="5"/>
  <c r="AT134" i="5"/>
  <c r="E108" i="5"/>
  <c r="AC108" i="5"/>
  <c r="X92" i="5"/>
  <c r="AO125" i="5"/>
  <c r="Y127" i="5"/>
  <c r="G96" i="5"/>
  <c r="H108" i="5"/>
  <c r="AC120" i="5"/>
  <c r="AG128" i="5"/>
  <c r="AO114" i="5"/>
  <c r="AA97" i="5"/>
  <c r="G129" i="5"/>
  <c r="F101" i="5"/>
  <c r="AJ91" i="5"/>
  <c r="D96" i="5"/>
  <c r="C136" i="5"/>
  <c r="AO133" i="5"/>
  <c r="C120" i="5"/>
  <c r="AJ94" i="5"/>
  <c r="AQ128" i="5"/>
  <c r="AH123" i="5"/>
  <c r="AA90" i="5"/>
  <c r="AR137" i="5"/>
  <c r="AC111" i="5"/>
  <c r="D128" i="5"/>
  <c r="AC133" i="5"/>
  <c r="AF119" i="5"/>
  <c r="P130" i="5"/>
  <c r="AM114" i="5"/>
  <c r="J118" i="5"/>
  <c r="I124" i="5"/>
  <c r="AG123" i="5"/>
  <c r="F129" i="5"/>
  <c r="AX112" i="5"/>
  <c r="AL109" i="5"/>
  <c r="AM90" i="5"/>
  <c r="Q129" i="5"/>
  <c r="O129" i="5"/>
  <c r="AW137" i="5"/>
  <c r="E97" i="5"/>
  <c r="AK128" i="5"/>
  <c r="AQ131" i="5"/>
  <c r="W128" i="5"/>
  <c r="AG94" i="5"/>
  <c r="AH114" i="5"/>
  <c r="P94" i="5"/>
  <c r="AD120" i="5"/>
  <c r="J124" i="5"/>
  <c r="AG132" i="5"/>
  <c r="AK106" i="5"/>
  <c r="N123" i="5"/>
  <c r="AH110" i="5"/>
  <c r="AH136" i="5"/>
  <c r="AF111" i="5"/>
  <c r="AS134" i="5"/>
  <c r="H135" i="5"/>
  <c r="AA135" i="5"/>
  <c r="N132" i="5"/>
  <c r="O124" i="5"/>
  <c r="Z110" i="5"/>
  <c r="AO113" i="5"/>
  <c r="AO134" i="5"/>
  <c r="AI111" i="5"/>
  <c r="R108" i="5"/>
  <c r="V129" i="5"/>
  <c r="AW132" i="5"/>
  <c r="Y136" i="5"/>
  <c r="AE111" i="5"/>
  <c r="C128" i="5"/>
  <c r="AG117" i="5"/>
  <c r="Q95" i="5"/>
  <c r="AF96" i="5"/>
  <c r="L106" i="5"/>
  <c r="AH101" i="5"/>
  <c r="AO120" i="5"/>
  <c r="Y122" i="5"/>
  <c r="AH124" i="5"/>
  <c r="AP98" i="5"/>
  <c r="AG98" i="5"/>
  <c r="AN107" i="5"/>
  <c r="AM91" i="5"/>
  <c r="AP128" i="5"/>
  <c r="AF93" i="5"/>
  <c r="K125" i="5"/>
  <c r="O128" i="5"/>
  <c r="AW129" i="5"/>
  <c r="AQ127" i="5"/>
  <c r="AE98" i="5"/>
  <c r="G131" i="5"/>
  <c r="AP126" i="5"/>
  <c r="AE126" i="5"/>
  <c r="P136" i="5"/>
  <c r="AA92" i="5"/>
  <c r="AB121" i="5"/>
  <c r="K97" i="5"/>
  <c r="I129" i="5"/>
  <c r="AH126" i="5"/>
  <c r="E110" i="5"/>
  <c r="W132" i="5"/>
  <c r="Z131" i="5"/>
  <c r="Y94" i="5"/>
  <c r="F109" i="5"/>
  <c r="AL121" i="5"/>
  <c r="AS110" i="5"/>
  <c r="AT123" i="5"/>
  <c r="N110" i="5"/>
  <c r="P124" i="5"/>
  <c r="P99" i="5"/>
  <c r="AN100" i="5"/>
  <c r="AA115" i="5"/>
  <c r="AN113" i="5"/>
  <c r="AK109" i="5"/>
  <c r="R111" i="5"/>
  <c r="W120" i="5"/>
  <c r="AM103" i="5"/>
  <c r="AK115" i="5"/>
  <c r="E95" i="5"/>
  <c r="Y110" i="5"/>
  <c r="H134" i="5"/>
  <c r="K90" i="5"/>
  <c r="L135" i="5"/>
  <c r="AI113" i="5"/>
  <c r="S132" i="5"/>
  <c r="AF131" i="5"/>
  <c r="Z116" i="5"/>
  <c r="AL134" i="5"/>
  <c r="AS137" i="5"/>
  <c r="AE112" i="5"/>
  <c r="AS131" i="5"/>
  <c r="AH97" i="5"/>
  <c r="J90" i="5"/>
  <c r="S125" i="5"/>
  <c r="L110" i="5"/>
  <c r="U108" i="5"/>
  <c r="AP93" i="5"/>
  <c r="AJ97" i="5"/>
  <c r="AN135" i="5"/>
  <c r="F124" i="5"/>
  <c r="E101" i="5"/>
  <c r="E136" i="5"/>
  <c r="AP111" i="5"/>
  <c r="AP134" i="5"/>
  <c r="L95" i="5"/>
  <c r="AX124" i="5"/>
  <c r="AF104" i="5"/>
  <c r="R91" i="5"/>
  <c r="G120" i="5"/>
  <c r="T98" i="5"/>
  <c r="AN111" i="5"/>
  <c r="AF90" i="5"/>
  <c r="E104" i="5"/>
  <c r="AD126" i="5"/>
  <c r="AN110" i="5"/>
  <c r="AS121" i="5"/>
  <c r="AS90" i="5"/>
  <c r="Y97" i="5"/>
  <c r="F122" i="5"/>
  <c r="AP132" i="5"/>
  <c r="P118" i="5"/>
  <c r="O100" i="5"/>
  <c r="AJ100" i="5"/>
  <c r="AV123" i="5"/>
  <c r="J121" i="5"/>
  <c r="AC110" i="5"/>
  <c r="G123" i="5"/>
  <c r="R114" i="5"/>
  <c r="I123" i="5"/>
  <c r="AF98" i="5"/>
  <c r="W126" i="5"/>
  <c r="AE121" i="5"/>
  <c r="AO129" i="5"/>
  <c r="F121" i="5"/>
  <c r="AM121" i="5"/>
  <c r="AU135" i="5"/>
  <c r="Z104" i="5"/>
  <c r="S104" i="5"/>
  <c r="W123" i="5"/>
  <c r="X129" i="5"/>
  <c r="AG104" i="5"/>
  <c r="G136" i="5"/>
  <c r="AO103" i="5"/>
  <c r="AU127" i="5"/>
  <c r="N127" i="5"/>
  <c r="W91" i="5"/>
  <c r="AM115" i="5"/>
  <c r="T121" i="5"/>
  <c r="AG102" i="5"/>
  <c r="C106" i="5"/>
  <c r="AC135" i="5"/>
  <c r="J135" i="5"/>
  <c r="C133" i="5"/>
  <c r="AK135" i="5"/>
  <c r="AN96" i="5"/>
  <c r="AJ126" i="5"/>
  <c r="AD131" i="5"/>
  <c r="W137" i="5"/>
  <c r="AU106" i="5"/>
  <c r="AG129" i="5"/>
  <c r="R99" i="5"/>
  <c r="C109" i="5"/>
  <c r="L108" i="5"/>
  <c r="AS124" i="5"/>
  <c r="AF128" i="5"/>
  <c r="K98" i="5"/>
  <c r="AE133" i="5"/>
  <c r="AU119" i="5"/>
  <c r="AX100" i="5"/>
  <c r="AI136" i="5"/>
  <c r="O126" i="5"/>
  <c r="J115" i="5"/>
  <c r="AX128" i="5"/>
  <c r="W133" i="5"/>
  <c r="AA116" i="5"/>
  <c r="AR100" i="5"/>
  <c r="Z122" i="5"/>
  <c r="S116" i="5"/>
  <c r="Q130" i="5"/>
  <c r="Y109" i="5"/>
  <c r="AU124" i="5"/>
  <c r="AR116" i="5"/>
  <c r="P109" i="5"/>
  <c r="AW135" i="5"/>
  <c r="P116" i="5"/>
  <c r="C135" i="5"/>
  <c r="J132" i="5"/>
  <c r="L98" i="5"/>
  <c r="AC92" i="5"/>
  <c r="U136" i="5"/>
  <c r="U119" i="5"/>
  <c r="K92" i="5"/>
  <c r="D130" i="5"/>
  <c r="Z133" i="5"/>
  <c r="I128" i="5"/>
  <c r="AH125" i="5"/>
  <c r="AM101" i="5"/>
  <c r="AX126" i="5"/>
  <c r="AC126" i="5"/>
  <c r="T103" i="5"/>
  <c r="AJ109" i="5"/>
  <c r="E116" i="5"/>
  <c r="O91" i="5"/>
  <c r="E125" i="5"/>
  <c r="AU128" i="5"/>
  <c r="AL96" i="5"/>
  <c r="C134" i="5"/>
  <c r="AF112" i="5"/>
  <c r="N130" i="5"/>
  <c r="L105" i="5"/>
  <c r="AO119" i="5"/>
  <c r="H119" i="5"/>
  <c r="J119" i="5"/>
  <c r="AR131" i="5"/>
  <c r="O118" i="5"/>
  <c r="Z132" i="5"/>
  <c r="AV129" i="5"/>
  <c r="H126" i="5"/>
  <c r="AB106" i="5"/>
  <c r="AH116" i="5"/>
  <c r="R125" i="5"/>
  <c r="H107" i="5"/>
  <c r="X97" i="5"/>
  <c r="S135" i="5"/>
  <c r="AQ133" i="5"/>
  <c r="AB124" i="5"/>
  <c r="G111" i="5"/>
  <c r="R121" i="5"/>
  <c r="T125" i="5"/>
  <c r="M134" i="5"/>
  <c r="V126" i="5"/>
  <c r="T116" i="5"/>
  <c r="AP96" i="5"/>
  <c r="AI103" i="5"/>
  <c r="M91" i="5"/>
  <c r="AE107" i="5"/>
  <c r="I134" i="5"/>
  <c r="L125" i="5"/>
  <c r="AK112" i="5"/>
  <c r="N119" i="5"/>
  <c r="G104" i="5"/>
  <c r="AE134" i="5"/>
  <c r="AR123" i="5"/>
  <c r="AX127" i="5"/>
  <c r="AK129" i="5"/>
  <c r="W108" i="5"/>
  <c r="S99" i="5"/>
  <c r="Y121" i="5"/>
  <c r="U133" i="5"/>
  <c r="W90" i="5"/>
  <c r="G121" i="5"/>
  <c r="AF103" i="5"/>
  <c r="G97" i="5"/>
  <c r="AA109" i="5"/>
  <c r="Z119" i="5"/>
  <c r="AH135" i="5"/>
  <c r="S133" i="5"/>
  <c r="AH95" i="5"/>
  <c r="T101" i="5"/>
  <c r="G113" i="5"/>
  <c r="AM94" i="5"/>
  <c r="I127" i="5"/>
  <c r="Q90" i="5"/>
  <c r="R93" i="5"/>
  <c r="AE115" i="5"/>
  <c r="P103" i="5"/>
  <c r="Y124" i="5"/>
  <c r="W114" i="5"/>
  <c r="AM122" i="5"/>
  <c r="M93" i="5"/>
  <c r="N113" i="5"/>
  <c r="AI126" i="5"/>
  <c r="AM106" i="5"/>
  <c r="S114" i="5"/>
  <c r="AX133" i="5"/>
  <c r="AV121" i="5"/>
  <c r="AD111" i="5"/>
  <c r="AN101" i="5"/>
  <c r="V121" i="5"/>
  <c r="N97" i="5"/>
  <c r="AJ127" i="5"/>
  <c r="AH131" i="5"/>
  <c r="AX125" i="5"/>
  <c r="AI109" i="5"/>
  <c r="Q135" i="5"/>
  <c r="O115" i="5"/>
  <c r="AI110" i="5"/>
  <c r="AN97" i="5"/>
  <c r="AQ113" i="5"/>
  <c r="AB101" i="5"/>
  <c r="AW136" i="5"/>
  <c r="U96" i="5"/>
  <c r="N117" i="5"/>
  <c r="Q100" i="5"/>
  <c r="L112" i="5"/>
  <c r="Y123" i="5"/>
  <c r="E91" i="5"/>
  <c r="N91" i="5"/>
  <c r="Y93" i="5"/>
  <c r="Y118" i="5"/>
  <c r="AH119" i="5"/>
  <c r="AM99" i="5"/>
  <c r="S95" i="5"/>
  <c r="AW98" i="5"/>
  <c r="C113" i="5"/>
  <c r="AL114" i="5"/>
  <c r="AB125" i="5"/>
  <c r="K118" i="5"/>
  <c r="I107" i="5"/>
  <c r="G132" i="5"/>
  <c r="T100" i="5"/>
  <c r="S127" i="5"/>
  <c r="AM137" i="5"/>
  <c r="AB134" i="5"/>
  <c r="AH111" i="5"/>
  <c r="AC119" i="5"/>
  <c r="AN125" i="5"/>
  <c r="AT105" i="5"/>
  <c r="Z106" i="5"/>
  <c r="I102" i="5"/>
  <c r="AV136" i="5"/>
  <c r="AX132" i="5"/>
  <c r="AS93" i="5"/>
  <c r="AT96" i="5"/>
  <c r="AI117" i="5"/>
  <c r="AC128" i="5"/>
  <c r="Z111" i="5"/>
  <c r="Q105" i="5"/>
  <c r="N122" i="5"/>
  <c r="Z115" i="5"/>
  <c r="C95" i="5"/>
  <c r="AE120" i="5"/>
  <c r="AV127" i="5"/>
  <c r="AP97" i="5"/>
  <c r="AI101" i="5"/>
  <c r="Q101" i="5"/>
  <c r="AD125" i="5"/>
  <c r="Y96" i="5"/>
  <c r="N126" i="5"/>
  <c r="AH99" i="5"/>
  <c r="L118" i="5"/>
  <c r="AJ92" i="5"/>
  <c r="F135" i="5"/>
  <c r="AS122" i="5"/>
  <c r="AK101" i="5"/>
  <c r="R127" i="5"/>
  <c r="AO90" i="5"/>
  <c r="AI135" i="5"/>
  <c r="AX98" i="5"/>
  <c r="S108" i="5"/>
  <c r="AS103" i="5"/>
  <c r="AA128" i="5"/>
  <c r="D125" i="5"/>
  <c r="AR124" i="5"/>
  <c r="Y125" i="5"/>
  <c r="AF92" i="5"/>
  <c r="AA136" i="5"/>
  <c r="AV91" i="5"/>
  <c r="AJ136" i="5"/>
  <c r="T92" i="5"/>
  <c r="S122" i="5"/>
  <c r="O133" i="5"/>
  <c r="L116" i="5"/>
  <c r="AM130" i="5"/>
  <c r="U127" i="5"/>
  <c r="X137" i="5"/>
  <c r="AE109" i="5"/>
  <c r="I125" i="5"/>
  <c r="AE105" i="5"/>
  <c r="AE137" i="5"/>
  <c r="AC95" i="5"/>
  <c r="I136" i="5"/>
  <c r="AU97" i="5"/>
  <c r="R136" i="5"/>
  <c r="X113" i="5"/>
  <c r="U90" i="5"/>
  <c r="AM128" i="5"/>
  <c r="AB117" i="5"/>
  <c r="AS129" i="5"/>
  <c r="P98" i="5"/>
  <c r="R120" i="5"/>
  <c r="H131" i="5"/>
  <c r="Z91" i="5"/>
  <c r="H104" i="5"/>
  <c r="Y104" i="5"/>
  <c r="AA126" i="5"/>
  <c r="E122" i="5"/>
  <c r="Y107" i="5"/>
  <c r="Y131" i="5"/>
  <c r="AJ130" i="5"/>
  <c r="AG133" i="5"/>
  <c r="Z96" i="5"/>
  <c r="L131" i="5"/>
  <c r="AM105" i="5"/>
  <c r="AK126" i="5"/>
  <c r="M108" i="5"/>
  <c r="AJ93" i="5"/>
  <c r="AB94" i="5"/>
  <c r="N101" i="5"/>
  <c r="G119" i="5"/>
  <c r="AD109" i="5"/>
  <c r="J129" i="5"/>
  <c r="D123" i="5"/>
  <c r="AI133" i="5"/>
  <c r="Q113" i="5"/>
  <c r="O93" i="5"/>
  <c r="AI112" i="5"/>
  <c r="AF118" i="5"/>
  <c r="AC125" i="5"/>
  <c r="AJ125" i="5"/>
  <c r="AP137" i="5"/>
  <c r="U116" i="5"/>
  <c r="J96" i="5"/>
  <c r="AG112" i="5"/>
  <c r="X117" i="5"/>
  <c r="H132" i="5"/>
  <c r="AL136" i="5"/>
  <c r="AI122" i="5"/>
  <c r="AD137" i="5"/>
  <c r="AX115" i="5"/>
  <c r="AU109" i="5"/>
  <c r="U102" i="5"/>
  <c r="AT93" i="5"/>
  <c r="M90" i="5"/>
  <c r="W97" i="5"/>
  <c r="AW100" i="5"/>
  <c r="F132" i="5"/>
  <c r="AH134" i="5"/>
  <c r="AG100" i="5"/>
  <c r="H100" i="5"/>
  <c r="AU133" i="5"/>
  <c r="G98" i="5"/>
  <c r="I99" i="5"/>
  <c r="J133" i="5"/>
  <c r="P104" i="5"/>
  <c r="X119" i="5"/>
  <c r="AW108" i="5"/>
  <c r="AF126" i="5"/>
  <c r="D111" i="5"/>
  <c r="AW99" i="5"/>
  <c r="L130" i="5"/>
  <c r="AO126" i="5"/>
  <c r="L92" i="5"/>
  <c r="AK120" i="5"/>
  <c r="R107" i="5"/>
  <c r="W107" i="5"/>
  <c r="P119" i="5"/>
  <c r="AQ126" i="5"/>
  <c r="X134" i="5"/>
  <c r="AQ100" i="5"/>
  <c r="AB99" i="5"/>
  <c r="S93" i="5"/>
  <c r="D126" i="5"/>
  <c r="AM98" i="5"/>
  <c r="M136" i="5"/>
  <c r="I126" i="5"/>
  <c r="E112" i="5"/>
  <c r="F112" i="5"/>
  <c r="Z95" i="5"/>
  <c r="AB104" i="5"/>
  <c r="AK107" i="5"/>
  <c r="K133" i="5"/>
  <c r="AF109" i="5"/>
  <c r="AX92" i="5"/>
  <c r="S129" i="5"/>
  <c r="R131" i="5"/>
  <c r="P114" i="5"/>
  <c r="AO105" i="5"/>
  <c r="AF134" i="5"/>
  <c r="AF123" i="5"/>
  <c r="AS126" i="5"/>
  <c r="AA123" i="5"/>
  <c r="W109" i="5"/>
  <c r="AS119" i="5"/>
  <c r="AT98" i="5"/>
  <c r="P129" i="5"/>
  <c r="AX116" i="5"/>
  <c r="F133" i="5"/>
  <c r="Z109" i="5"/>
  <c r="T119" i="5"/>
  <c r="AU95" i="5"/>
  <c r="R115" i="5"/>
  <c r="AA101" i="5"/>
  <c r="AA99" i="5"/>
  <c r="AV111" i="5"/>
  <c r="R122" i="5"/>
  <c r="G118" i="5"/>
  <c r="AO96" i="5"/>
  <c r="AX103" i="5"/>
  <c r="Z114" i="5"/>
  <c r="I120" i="5"/>
  <c r="J98" i="5"/>
  <c r="D136" i="5"/>
  <c r="AO137" i="5"/>
  <c r="W135" i="5"/>
  <c r="AA105" i="5"/>
  <c r="V134" i="5"/>
  <c r="AP130" i="5"/>
  <c r="AK131" i="5"/>
  <c r="P113" i="5"/>
  <c r="AX113" i="5"/>
  <c r="AU112" i="5"/>
  <c r="O123" i="5"/>
  <c r="AM97" i="5"/>
  <c r="W111" i="5"/>
  <c r="R101" i="5"/>
  <c r="G99" i="5"/>
  <c r="K131" i="5"/>
  <c r="K103" i="5"/>
  <c r="P137" i="5"/>
  <c r="Z94" i="5"/>
  <c r="AL107" i="5"/>
  <c r="AU118" i="5"/>
  <c r="AX104" i="5"/>
  <c r="AL124" i="5"/>
  <c r="AK116" i="5"/>
  <c r="G103" i="5"/>
  <c r="AL101" i="5"/>
  <c r="Y92" i="5"/>
  <c r="AC127" i="5"/>
  <c r="F136" i="5"/>
  <c r="J137" i="5"/>
  <c r="AE102" i="5"/>
  <c r="AK123" i="5"/>
  <c r="Y90" i="5"/>
  <c r="K100" i="5"/>
  <c r="D92" i="5"/>
  <c r="H129" i="5"/>
  <c r="E115" i="5"/>
  <c r="AC130" i="5"/>
  <c r="L102" i="5"/>
  <c r="E90" i="5"/>
  <c r="V107" i="5"/>
  <c r="T117" i="5"/>
  <c r="AD92" i="5"/>
  <c r="AF120" i="5"/>
  <c r="O119" i="5"/>
  <c r="N99" i="5"/>
  <c r="H116" i="5"/>
  <c r="L120" i="5"/>
  <c r="AR133" i="5"/>
  <c r="C99" i="5"/>
  <c r="AK94" i="5"/>
  <c r="AW126" i="5"/>
  <c r="AF110" i="5"/>
  <c r="AH92" i="5"/>
  <c r="Z105" i="5"/>
  <c r="W115" i="5"/>
  <c r="AB116" i="5"/>
  <c r="D99" i="5"/>
  <c r="AB120" i="5"/>
  <c r="E124" i="5"/>
  <c r="AM132" i="5"/>
  <c r="F116" i="5"/>
  <c r="Y133" i="5"/>
  <c r="AG115" i="5"/>
  <c r="AN108" i="5"/>
  <c r="AD127" i="5"/>
  <c r="AC96" i="5"/>
  <c r="T133" i="5"/>
  <c r="AA102" i="5"/>
  <c r="N96" i="5"/>
  <c r="AG122" i="5"/>
  <c r="AQ90" i="5"/>
  <c r="U123" i="5"/>
  <c r="AM134" i="5"/>
  <c r="V119" i="5"/>
  <c r="AO124" i="5"/>
  <c r="AN133" i="5"/>
  <c r="L91" i="5"/>
  <c r="AT122" i="5"/>
  <c r="AW106" i="5"/>
  <c r="AQ120" i="5"/>
  <c r="AD101" i="5"/>
  <c r="E98" i="5"/>
  <c r="C114" i="5"/>
  <c r="AL137" i="5"/>
  <c r="AF105" i="5"/>
  <c r="AS127" i="5"/>
  <c r="AR112" i="5"/>
  <c r="AD129" i="5"/>
  <c r="Q136" i="5"/>
  <c r="V120" i="5"/>
  <c r="AW125" i="5"/>
  <c r="AN103" i="5"/>
  <c r="L101" i="5"/>
  <c r="AC112" i="5"/>
  <c r="L109" i="5"/>
  <c r="AR130" i="5"/>
  <c r="AC122" i="5"/>
  <c r="AG118" i="5"/>
  <c r="Y117" i="5"/>
  <c r="Z128" i="5"/>
  <c r="AD96" i="5"/>
  <c r="R130" i="5"/>
  <c r="S112" i="5"/>
  <c r="K136" i="5"/>
  <c r="U98" i="5"/>
  <c r="AJ132" i="5"/>
  <c r="AW95" i="5"/>
  <c r="AL113" i="5"/>
  <c r="X130" i="5"/>
  <c r="AC137" i="5"/>
  <c r="X115" i="5"/>
  <c r="Q124" i="5"/>
  <c r="G130" i="5"/>
  <c r="AD119" i="5"/>
  <c r="D115" i="5"/>
  <c r="V95" i="5"/>
  <c r="J120" i="5"/>
  <c r="AT112" i="5"/>
  <c r="S92" i="5"/>
  <c r="AO122" i="5"/>
  <c r="Q99" i="5"/>
  <c r="AP94" i="5"/>
  <c r="P125" i="5"/>
  <c r="F134" i="5"/>
  <c r="AW123" i="5"/>
  <c r="AD113" i="5"/>
  <c r="R100" i="5"/>
  <c r="AJ115" i="5"/>
  <c r="AN118" i="5"/>
  <c r="H128" i="5"/>
  <c r="N118" i="5"/>
  <c r="AF121" i="5"/>
  <c r="AL98" i="5"/>
  <c r="T137" i="5"/>
  <c r="AI125" i="5"/>
  <c r="X93" i="5"/>
  <c r="J117" i="5"/>
  <c r="N135" i="5"/>
  <c r="AA111" i="5"/>
  <c r="AI129" i="5"/>
  <c r="X133" i="5"/>
  <c r="AT130" i="5"/>
  <c r="AS101" i="5"/>
  <c r="AC113" i="5"/>
  <c r="AJ122" i="5"/>
  <c r="V117" i="5"/>
  <c r="R137" i="5"/>
  <c r="AJ137" i="5"/>
  <c r="C100" i="5"/>
  <c r="AF101" i="5"/>
  <c r="AP113" i="5"/>
  <c r="AD122" i="5"/>
  <c r="AE91" i="5"/>
  <c r="D137" i="5"/>
  <c r="AC121" i="5"/>
  <c r="S110" i="5"/>
  <c r="AI127" i="5"/>
  <c r="AI107" i="5"/>
  <c r="U93" i="5"/>
  <c r="AL128" i="5"/>
  <c r="AM104" i="5"/>
  <c r="U137" i="5"/>
  <c r="T91" i="5"/>
  <c r="AA108" i="5"/>
  <c r="C110" i="5"/>
  <c r="AB113" i="5"/>
  <c r="D117" i="5"/>
  <c r="AQ96" i="5"/>
  <c r="AP133" i="5"/>
  <c r="AC118" i="5"/>
  <c r="R113" i="5"/>
  <c r="W116" i="5"/>
  <c r="AH137" i="5"/>
  <c r="G135" i="5"/>
  <c r="Q137" i="5"/>
  <c r="AX91" i="5"/>
  <c r="H122" i="5"/>
  <c r="AQ111" i="5"/>
  <c r="Z101" i="5"/>
  <c r="AW92" i="5"/>
  <c r="AD135" i="5"/>
  <c r="N93" i="5"/>
  <c r="U118" i="5"/>
  <c r="P132" i="5"/>
  <c r="M124" i="5"/>
  <c r="AS91" i="5"/>
  <c r="D131" i="5"/>
  <c r="AV126" i="5"/>
  <c r="Z129" i="5"/>
  <c r="AP109" i="5"/>
  <c r="J103" i="5"/>
  <c r="AL125" i="5"/>
  <c r="AQ134" i="5"/>
  <c r="AJ121" i="5"/>
  <c r="AW96" i="5"/>
  <c r="AA114" i="5"/>
  <c r="AJ111" i="5"/>
  <c r="AP95" i="5"/>
  <c r="AC100" i="5"/>
  <c r="E133" i="5"/>
  <c r="J110" i="5"/>
  <c r="O134" i="5"/>
  <c r="G122" i="5"/>
  <c r="I105" i="5"/>
  <c r="K112" i="5"/>
  <c r="W129" i="5"/>
  <c r="C90" i="5"/>
  <c r="AE95" i="5"/>
  <c r="AQ117" i="5"/>
  <c r="AB127" i="5"/>
  <c r="K91" i="5"/>
  <c r="J99" i="5"/>
  <c r="W112" i="5"/>
  <c r="AE116" i="5"/>
  <c r="M102" i="5"/>
  <c r="Z126" i="5"/>
  <c r="AT132" i="5"/>
  <c r="W102" i="5"/>
  <c r="D133" i="5"/>
  <c r="AH96" i="5"/>
  <c r="AP104" i="5"/>
  <c r="AU92" i="5"/>
  <c r="M120" i="5"/>
  <c r="AE90" i="5"/>
  <c r="AC91" i="5"/>
  <c r="O112" i="5"/>
  <c r="Y106" i="5"/>
  <c r="O109" i="5"/>
  <c r="AA133" i="5"/>
  <c r="I95" i="5"/>
  <c r="E111" i="5"/>
  <c r="Z108" i="5"/>
  <c r="H120" i="5"/>
  <c r="AA124" i="5"/>
  <c r="K109" i="5"/>
  <c r="AJ133" i="5"/>
  <c r="W119" i="5"/>
  <c r="Y115" i="5"/>
  <c r="H123" i="5"/>
  <c r="T118" i="5"/>
  <c r="AJ105" i="5"/>
  <c r="H137" i="5"/>
  <c r="L107" i="5"/>
  <c r="U104" i="5"/>
  <c r="L115" i="5"/>
  <c r="L129" i="5"/>
  <c r="Y129" i="5"/>
  <c r="X135" i="5"/>
  <c r="R132" i="5"/>
  <c r="F111" i="5"/>
  <c r="Q108" i="5"/>
  <c r="AG136" i="5"/>
  <c r="M109" i="5"/>
  <c r="AJ131" i="5"/>
  <c r="E130" i="5"/>
  <c r="AN109" i="5"/>
  <c r="R98" i="5"/>
  <c r="AT128" i="5"/>
  <c r="L126" i="5"/>
  <c r="J125" i="5"/>
  <c r="F115" i="5"/>
  <c r="AE135" i="5"/>
  <c r="AN124" i="5"/>
  <c r="AE125" i="5"/>
  <c r="AG105" i="5"/>
  <c r="AN122" i="5"/>
  <c r="X107" i="5"/>
  <c r="AE118" i="5"/>
  <c r="H124" i="5"/>
  <c r="T106" i="5"/>
  <c r="V116" i="5"/>
  <c r="T134" i="5"/>
  <c r="AT110" i="5"/>
  <c r="H97" i="5"/>
  <c r="AL123" i="5"/>
  <c r="O135" i="5"/>
  <c r="AA125" i="5"/>
  <c r="AR91" i="5"/>
  <c r="AQ110" i="5"/>
  <c r="O101" i="5"/>
  <c r="AJ108" i="5"/>
  <c r="AL90" i="5"/>
  <c r="AE93" i="5"/>
  <c r="AG135" i="5"/>
  <c r="Q131" i="5"/>
  <c r="AF133" i="5"/>
  <c r="AG131" i="5"/>
  <c r="K114" i="5"/>
  <c r="AA95" i="5"/>
  <c r="AO116" i="5"/>
  <c r="AP136" i="5"/>
  <c r="S105" i="5"/>
  <c r="O105" i="5"/>
  <c r="AN127" i="5"/>
  <c r="AV120" i="5"/>
  <c r="AP127" i="5"/>
  <c r="N106" i="5"/>
  <c r="AD115" i="5"/>
  <c r="G116" i="5"/>
  <c r="AP114" i="5"/>
  <c r="E135" i="5"/>
  <c r="I135" i="5"/>
  <c r="AR113" i="5"/>
  <c r="AK103" i="5"/>
  <c r="T96" i="5"/>
  <c r="C94" i="5"/>
  <c r="AQ98" i="5"/>
  <c r="AS133" i="5"/>
  <c r="AF95" i="5"/>
  <c r="AV110" i="5"/>
  <c r="AN95" i="5"/>
  <c r="P101" i="5"/>
  <c r="K93" i="5"/>
  <c r="O131" i="5"/>
  <c r="AH120" i="5"/>
  <c r="E123" i="5"/>
  <c r="S137" i="5"/>
  <c r="AO92" i="5"/>
  <c r="H109" i="5"/>
  <c r="AX110" i="5"/>
  <c r="C127" i="5"/>
  <c r="AE92" i="5"/>
  <c r="AN130" i="5"/>
  <c r="AV101" i="5"/>
  <c r="AQ135" i="5"/>
  <c r="C105" i="5"/>
  <c r="V96" i="5"/>
  <c r="R118" i="5"/>
  <c r="AB92" i="5"/>
  <c r="AI96" i="5"/>
  <c r="I93" i="5"/>
  <c r="AE99" i="5"/>
  <c r="Q97" i="5"/>
  <c r="AW109" i="5"/>
  <c r="AR132" i="5"/>
  <c r="T114" i="5"/>
  <c r="AW97" i="5"/>
  <c r="AQ101" i="5"/>
  <c r="O110" i="5"/>
  <c r="Q121" i="5"/>
  <c r="S117" i="5"/>
  <c r="AV114" i="5"/>
  <c r="O96" i="5"/>
  <c r="AP91" i="5"/>
  <c r="M119" i="5"/>
  <c r="AS118" i="5"/>
  <c r="AI120" i="5"/>
  <c r="AS113" i="5"/>
  <c r="AE108" i="5"/>
  <c r="AJ102" i="5"/>
  <c r="G95" i="5"/>
  <c r="AB98" i="5"/>
  <c r="T112" i="5"/>
  <c r="F100" i="5"/>
  <c r="AT137" i="5"/>
  <c r="F96" i="5"/>
  <c r="O92" i="5"/>
  <c r="AX95" i="5"/>
  <c r="AA137" i="5"/>
  <c r="S100" i="5"/>
  <c r="AK97" i="5"/>
  <c r="AM126" i="5"/>
  <c r="AS135" i="5"/>
  <c r="M103" i="5"/>
  <c r="H133" i="5"/>
  <c r="AH122" i="5"/>
  <c r="G106" i="5"/>
  <c r="AW128" i="5"/>
  <c r="AD117" i="5"/>
  <c r="U126" i="5"/>
  <c r="S115" i="5"/>
  <c r="S123" i="5"/>
  <c r="S119" i="5"/>
  <c r="X110" i="5"/>
  <c r="AN119" i="5"/>
  <c r="Y102" i="5"/>
  <c r="G110" i="5"/>
  <c r="Q93" i="5"/>
  <c r="G137" i="5"/>
  <c r="D118" i="5"/>
  <c r="AK114" i="5"/>
  <c r="E114" i="5"/>
  <c r="W131" i="5"/>
  <c r="J111" i="5"/>
  <c r="AL122" i="5"/>
  <c r="M123" i="5"/>
  <c r="F118" i="5"/>
  <c r="AU131" i="5"/>
  <c r="AK118" i="5"/>
  <c r="AR94" i="5"/>
  <c r="I97" i="5"/>
  <c r="AX121" i="5"/>
  <c r="T123" i="5"/>
  <c r="AR120" i="5"/>
  <c r="AH108" i="5"/>
  <c r="V113" i="5"/>
  <c r="L93" i="5"/>
  <c r="V102" i="5"/>
  <c r="H91" i="5"/>
  <c r="AX108" i="5"/>
  <c r="AX114" i="5"/>
  <c r="C107" i="5"/>
  <c r="N92" i="5"/>
  <c r="AG108" i="5"/>
  <c r="U105" i="5"/>
  <c r="AX129" i="5"/>
  <c r="F98" i="5"/>
  <c r="R117" i="5"/>
  <c r="AD95" i="5"/>
  <c r="N125" i="5"/>
  <c r="AI108" i="5"/>
  <c r="F106" i="5"/>
  <c r="R92" i="5"/>
  <c r="Y137" i="5"/>
  <c r="AG127" i="5"/>
  <c r="U99" i="5"/>
  <c r="AS130" i="5"/>
  <c r="H95" i="5"/>
  <c r="AQ109" i="5"/>
  <c r="M105" i="5"/>
  <c r="F92" i="5"/>
  <c r="AF94" i="5"/>
  <c r="AV112" i="5"/>
  <c r="AM133" i="5"/>
  <c r="P110" i="5"/>
  <c r="U121" i="5"/>
  <c r="E118" i="5"/>
  <c r="AU123" i="5"/>
  <c r="AD134" i="5"/>
  <c r="S121" i="5"/>
  <c r="C101" i="5"/>
  <c r="E119" i="5"/>
  <c r="AU99" i="5"/>
  <c r="M115" i="5"/>
  <c r="X102" i="5"/>
  <c r="T129" i="5"/>
  <c r="AV122" i="5"/>
  <c r="AN116" i="5"/>
  <c r="AK133" i="5"/>
  <c r="AS92" i="5"/>
  <c r="P107" i="5"/>
  <c r="AV133" i="5"/>
  <c r="J108" i="5"/>
  <c r="X111" i="5"/>
  <c r="I90" i="5"/>
  <c r="C93" i="5"/>
  <c r="AM107" i="5"/>
  <c r="E131" i="5"/>
  <c r="V115" i="5"/>
  <c r="AD98" i="5"/>
  <c r="AK100" i="5"/>
  <c r="P122" i="5"/>
  <c r="AU113" i="5"/>
  <c r="AN136" i="5"/>
  <c r="G127" i="5"/>
  <c r="AK122" i="5"/>
  <c r="AV104" i="5"/>
  <c r="AU91" i="5"/>
  <c r="C116" i="5"/>
  <c r="AG121" i="5"/>
  <c r="I96" i="5"/>
  <c r="M104" i="5"/>
  <c r="AG99" i="5"/>
  <c r="AE101" i="5"/>
  <c r="K104" i="5"/>
  <c r="M133" i="5"/>
  <c r="AE104" i="5"/>
  <c r="AU108" i="5"/>
  <c r="AG120" i="5"/>
  <c r="AV119" i="5"/>
  <c r="O132" i="5"/>
  <c r="AF124" i="5"/>
  <c r="AD136" i="5"/>
  <c r="C102" i="5"/>
  <c r="AR129" i="5"/>
  <c r="AW91" i="5"/>
  <c r="D108" i="5"/>
  <c r="P112" i="5"/>
  <c r="T115" i="5"/>
  <c r="AA106" i="5"/>
  <c r="AT106" i="5"/>
  <c r="AR106" i="5"/>
  <c r="AX118" i="5"/>
  <c r="U124" i="5"/>
  <c r="C123" i="5"/>
  <c r="V101" i="5"/>
  <c r="M131" i="5"/>
  <c r="AA103" i="5"/>
  <c r="O94" i="5"/>
  <c r="AO108" i="5"/>
  <c r="AK93" i="5"/>
  <c r="AG116" i="5"/>
  <c r="AK92" i="5"/>
  <c r="U103" i="5"/>
  <c r="AO93" i="5"/>
  <c r="V131" i="5"/>
  <c r="D120" i="5"/>
  <c r="AR125" i="5"/>
  <c r="AW110" i="5"/>
  <c r="N98" i="5"/>
  <c r="AT91" i="5"/>
  <c r="O98" i="5"/>
  <c r="N112" i="5"/>
  <c r="K127" i="5"/>
  <c r="Z121" i="5"/>
  <c r="AW94" i="5"/>
  <c r="AJ123" i="5"/>
  <c r="P90" i="5"/>
  <c r="AQ115" i="5"/>
  <c r="S113" i="5"/>
  <c r="M107" i="5"/>
  <c r="AL116" i="5"/>
  <c r="AC124" i="5"/>
  <c r="T105" i="5"/>
  <c r="AO123" i="5"/>
  <c r="Q133" i="5"/>
  <c r="AQ105" i="5"/>
  <c r="I100" i="5"/>
  <c r="AN105" i="5"/>
  <c r="AR95" i="5"/>
  <c r="AN115" i="5"/>
  <c r="AJ112" i="5"/>
  <c r="W92" i="5"/>
  <c r="AQ93" i="5"/>
  <c r="AT125" i="5"/>
  <c r="AB93" i="5"/>
  <c r="AS107" i="5"/>
  <c r="AX107" i="5"/>
  <c r="U113" i="5"/>
  <c r="AL135" i="5"/>
  <c r="V94" i="5"/>
  <c r="AU126" i="5"/>
  <c r="O130" i="5"/>
  <c r="P115" i="5"/>
  <c r="J112" i="5"/>
  <c r="J106" i="5"/>
  <c r="AJ110" i="5"/>
  <c r="AC97" i="5"/>
  <c r="AR93" i="5"/>
  <c r="S109" i="5"/>
  <c r="AI91" i="5"/>
  <c r="D97" i="5"/>
  <c r="U130" i="5"/>
  <c r="M137" i="5"/>
  <c r="T120" i="5"/>
  <c r="AV98" i="5"/>
  <c r="AJ119" i="5"/>
  <c r="E120" i="5"/>
  <c r="AV108" i="5"/>
  <c r="K101" i="5"/>
  <c r="AG91" i="5"/>
  <c r="AL111" i="5"/>
  <c r="S118" i="5"/>
  <c r="Q103" i="5"/>
  <c r="AA110" i="5"/>
  <c r="H117" i="5"/>
  <c r="AO111" i="5"/>
  <c r="AJ90" i="5"/>
  <c r="AK110" i="5"/>
  <c r="E109" i="5"/>
  <c r="V128" i="5"/>
  <c r="N116" i="5"/>
  <c r="T95" i="5"/>
  <c r="AD93" i="5"/>
  <c r="K116" i="5"/>
  <c r="K135" i="5"/>
  <c r="AO99" i="5"/>
  <c r="AG114" i="5"/>
  <c r="D127" i="5"/>
  <c r="X128" i="5"/>
  <c r="S128" i="5"/>
  <c r="V127" i="5"/>
  <c r="F91" i="5"/>
  <c r="AM116" i="5"/>
  <c r="W127" i="5"/>
  <c r="AG125" i="5"/>
  <c r="N124" i="5"/>
  <c r="AI123" i="5"/>
  <c r="AV102" i="5"/>
  <c r="M126" i="5"/>
  <c r="Z117" i="5"/>
  <c r="L133" i="5"/>
  <c r="AK127" i="5"/>
  <c r="Q120" i="5"/>
  <c r="K128" i="5"/>
  <c r="C119" i="5"/>
  <c r="AI119" i="5"/>
  <c r="K129" i="5"/>
  <c r="AT114" i="5"/>
  <c r="AP115" i="5"/>
  <c r="AD130" i="5"/>
  <c r="P100" i="5"/>
  <c r="AU94" i="5"/>
  <c r="AT97" i="5"/>
  <c r="F107" i="5"/>
  <c r="AI98" i="5"/>
  <c r="AO91" i="5"/>
  <c r="AP124" i="5"/>
  <c r="Y111" i="5"/>
  <c r="AW101" i="5"/>
  <c r="Y114" i="5"/>
  <c r="O107" i="5"/>
  <c r="AV100" i="5"/>
  <c r="N105" i="5"/>
  <c r="AO121" i="5"/>
  <c r="AI114" i="5"/>
  <c r="J116" i="5"/>
  <c r="G108" i="5"/>
  <c r="K123" i="5"/>
  <c r="AA100" i="5"/>
  <c r="AX94" i="5"/>
  <c r="V90" i="5"/>
  <c r="AR136" i="5"/>
  <c r="K134" i="5"/>
  <c r="V104" i="5"/>
  <c r="AX122" i="5"/>
  <c r="AK108" i="5"/>
  <c r="Z112" i="5"/>
  <c r="E137" i="5"/>
  <c r="G117" i="5"/>
  <c r="AN131" i="5"/>
  <c r="N107" i="5"/>
  <c r="AT129" i="5"/>
  <c r="N109" i="5"/>
  <c r="AL115" i="5"/>
  <c r="P108" i="5"/>
  <c r="AK105" i="5"/>
  <c r="AE110" i="5"/>
  <c r="AJ103" i="5"/>
  <c r="AM100" i="5"/>
  <c r="AR107" i="5"/>
  <c r="AT120" i="5"/>
  <c r="X132" i="5"/>
  <c r="AV109" i="5"/>
  <c r="AV96" i="5"/>
  <c r="AJ117" i="5"/>
  <c r="Y128" i="5"/>
  <c r="I133" i="5"/>
  <c r="AS128" i="5"/>
  <c r="S97" i="5"/>
  <c r="AO132" i="5"/>
  <c r="AA96" i="5"/>
  <c r="AV116" i="5"/>
  <c r="AR97" i="5"/>
  <c r="AQ106" i="5"/>
  <c r="U117" i="5"/>
  <c r="AE114" i="5"/>
  <c r="AR126" i="5"/>
  <c r="AO101" i="5"/>
  <c r="AD97" i="5"/>
  <c r="AR98" i="5"/>
  <c r="AW105" i="5"/>
  <c r="Y130" i="5"/>
  <c r="D107" i="5"/>
  <c r="X90" i="5"/>
  <c r="AG101" i="5"/>
  <c r="AR99" i="5"/>
  <c r="AL97" i="5"/>
  <c r="AN117" i="5"/>
  <c r="AH100" i="5"/>
  <c r="G107" i="5"/>
  <c r="S106" i="5"/>
  <c r="AH98" i="5"/>
  <c r="AC132" i="5"/>
  <c r="AT102" i="5"/>
  <c r="AQ91" i="5"/>
  <c r="I111" i="5"/>
  <c r="AP125" i="5"/>
  <c r="AB112" i="5"/>
  <c r="AC102" i="5"/>
  <c r="F128" i="5"/>
  <c r="AP129" i="5"/>
  <c r="AU111" i="5"/>
  <c r="AQ92" i="5"/>
  <c r="AP110" i="5"/>
  <c r="AH133" i="5"/>
  <c r="AN99" i="5"/>
  <c r="S96" i="5"/>
  <c r="AS98" i="5"/>
  <c r="AV107" i="5"/>
  <c r="AG126" i="5"/>
  <c r="AD132" i="5"/>
  <c r="AO109" i="5"/>
  <c r="AB95" i="5"/>
  <c r="AG90" i="5"/>
  <c r="AH107" i="5"/>
  <c r="J95" i="5"/>
  <c r="C129" i="5"/>
  <c r="E127" i="5"/>
  <c r="AU134" i="5"/>
  <c r="O137" i="5"/>
  <c r="AJ106" i="5"/>
  <c r="L128" i="5"/>
  <c r="AB129" i="5"/>
  <c r="S130" i="5"/>
  <c r="U122" i="5"/>
  <c r="AI104" i="5"/>
  <c r="K119" i="5"/>
  <c r="AF130" i="5"/>
  <c r="AJ135" i="5"/>
  <c r="K117" i="5"/>
  <c r="AR135" i="5"/>
  <c r="AE100" i="5"/>
  <c r="R96" i="5"/>
  <c r="AB126" i="5"/>
  <c r="M114" i="5"/>
  <c r="AH90" i="5"/>
  <c r="AH112" i="5"/>
  <c r="H130" i="5"/>
  <c r="H113" i="5"/>
  <c r="AI121" i="5"/>
  <c r="V130" i="5"/>
  <c r="C126" i="5"/>
  <c r="AN120" i="5"/>
  <c r="I109" i="5"/>
  <c r="AD116" i="5"/>
  <c r="K130" i="5"/>
  <c r="R95" i="5"/>
  <c r="AB103" i="5"/>
  <c r="AQ122" i="5"/>
  <c r="L136" i="5"/>
  <c r="AB111" i="5"/>
  <c r="AP117" i="5"/>
  <c r="O114" i="5"/>
  <c r="AA112" i="5"/>
  <c r="U131" i="5"/>
  <c r="AQ116" i="5"/>
  <c r="U132" i="5"/>
  <c r="W124" i="5"/>
  <c r="C131" i="5"/>
  <c r="AM129" i="5"/>
  <c r="R123" i="5"/>
  <c r="AK121" i="5"/>
  <c r="AL110" i="5"/>
  <c r="AC136" i="5"/>
  <c r="P111" i="5"/>
  <c r="AL99" i="5"/>
  <c r="I130" i="5"/>
  <c r="AV134" i="5"/>
  <c r="AT127" i="5"/>
  <c r="AF135" i="5"/>
  <c r="Z130" i="5"/>
  <c r="Q110" i="5"/>
  <c r="K94" i="5"/>
  <c r="AW90" i="5"/>
  <c r="AL105" i="5"/>
  <c r="AB135" i="5"/>
  <c r="P123" i="5"/>
  <c r="V92" i="5"/>
  <c r="AR117" i="5"/>
  <c r="AB130" i="5"/>
  <c r="AF99" i="5"/>
  <c r="AQ124" i="5"/>
  <c r="AG113" i="5"/>
  <c r="AI134" i="5"/>
  <c r="AF97" i="5"/>
  <c r="T104" i="5"/>
  <c r="H127" i="5"/>
  <c r="AF107" i="5"/>
  <c r="AJ134" i="5"/>
  <c r="AF102" i="5"/>
  <c r="Q122" i="5"/>
  <c r="D109" i="5"/>
  <c r="AB91" i="5"/>
  <c r="AD105" i="5"/>
  <c r="P131" i="5"/>
  <c r="AB100" i="5"/>
  <c r="V112" i="5"/>
  <c r="X124" i="5"/>
  <c r="O113" i="5"/>
  <c r="T132" i="5"/>
  <c r="AO102" i="5"/>
  <c r="AE130" i="5"/>
  <c r="D116" i="5"/>
  <c r="U91" i="5"/>
  <c r="AP101" i="5"/>
  <c r="AU114" i="5"/>
  <c r="M94" i="5"/>
  <c r="AQ112" i="5"/>
  <c r="AC114" i="5"/>
  <c r="Q116" i="5"/>
  <c r="AU117" i="5"/>
  <c r="AO94" i="5"/>
  <c r="M92" i="5"/>
  <c r="D112" i="5"/>
  <c r="D114" i="5"/>
  <c r="AT111" i="5"/>
  <c r="X112" i="5"/>
  <c r="N136" i="5"/>
  <c r="U125" i="5"/>
  <c r="AJ113" i="5"/>
  <c r="AP102" i="5"/>
  <c r="AF113" i="5"/>
  <c r="Z135" i="5"/>
  <c r="Z127" i="5"/>
  <c r="AU115" i="5"/>
  <c r="E94" i="5"/>
  <c r="X96" i="5"/>
  <c r="W134" i="5"/>
  <c r="O120" i="5"/>
  <c r="AE97" i="5"/>
  <c r="AI95" i="5"/>
  <c r="AM95" i="5"/>
  <c r="AM135" i="5"/>
  <c r="G115" i="5"/>
  <c r="J127" i="5"/>
  <c r="AE124" i="5"/>
  <c r="AT136" i="5"/>
  <c r="L127" i="5"/>
  <c r="Q134" i="5"/>
  <c r="AU116" i="5"/>
  <c r="AQ118" i="5"/>
  <c r="R116" i="5"/>
  <c r="AB123" i="5"/>
  <c r="AC131" i="5"/>
  <c r="AS132" i="5"/>
  <c r="D93" i="5"/>
  <c r="X122" i="5"/>
  <c r="V114" i="5"/>
  <c r="AE122" i="5"/>
  <c r="U111" i="5"/>
  <c r="U97" i="5"/>
  <c r="P120" i="5"/>
  <c r="N131" i="5"/>
  <c r="Z124" i="5"/>
  <c r="T110" i="5"/>
  <c r="U112" i="5"/>
  <c r="AR110" i="5"/>
  <c r="AM124" i="5"/>
  <c r="AG93" i="5"/>
  <c r="K95" i="5"/>
  <c r="AO118" i="5"/>
  <c r="AF125" i="5"/>
  <c r="F125" i="5"/>
  <c r="AU98" i="5"/>
  <c r="AM120" i="5"/>
  <c r="O125" i="5"/>
  <c r="Z107" i="5"/>
  <c r="L113" i="5"/>
  <c r="AG137" i="5"/>
  <c r="AV132" i="5"/>
  <c r="AL131" i="5"/>
  <c r="AV137" i="5"/>
  <c r="N128" i="5"/>
  <c r="AK130" i="5"/>
  <c r="Q118" i="5"/>
  <c r="AW121" i="5"/>
  <c r="I98" i="5"/>
  <c r="AN114" i="5"/>
  <c r="L134" i="5"/>
  <c r="X123" i="5"/>
  <c r="S101" i="5"/>
  <c r="V105" i="5"/>
  <c r="AM119" i="5"/>
  <c r="AQ125" i="5"/>
  <c r="F131" i="5"/>
  <c r="AQ121" i="5"/>
  <c r="Y119" i="5"/>
  <c r="W99" i="5"/>
  <c r="C124" i="5"/>
  <c r="AW116" i="5"/>
  <c r="AN112" i="5"/>
  <c r="AH113" i="5"/>
  <c r="L123" i="5"/>
  <c r="AL117" i="5"/>
  <c r="AU136" i="5"/>
  <c r="R135" i="5"/>
  <c r="K115" i="5"/>
  <c r="AR101" i="5"/>
  <c r="T109" i="5"/>
  <c r="AF137" i="5"/>
  <c r="AX111" i="5"/>
  <c r="N121" i="5"/>
  <c r="Q132" i="5"/>
  <c r="AC134" i="5"/>
  <c r="P92" i="5"/>
  <c r="AR109" i="5"/>
  <c r="AR90" i="5"/>
  <c r="AX99" i="5"/>
  <c r="S120" i="5"/>
  <c r="Q123" i="5"/>
  <c r="E129" i="5"/>
  <c r="AA93" i="5"/>
  <c r="AW120" i="5"/>
  <c r="AX101" i="5"/>
  <c r="AI130" i="5"/>
  <c r="AJ118" i="5"/>
  <c r="G125" i="5"/>
  <c r="V93" i="5"/>
  <c r="I104" i="5"/>
  <c r="AA131" i="5"/>
  <c r="I101" i="5"/>
  <c r="AX131" i="5"/>
  <c r="I94" i="5"/>
  <c r="U128" i="5"/>
  <c r="W103" i="5"/>
  <c r="AJ101" i="5"/>
  <c r="J94" i="5"/>
  <c r="D105" i="5"/>
  <c r="AI92" i="5"/>
  <c r="Z120" i="5"/>
  <c r="C111" i="5"/>
  <c r="M112" i="5"/>
  <c r="AI132" i="5"/>
  <c r="AD90" i="5"/>
  <c r="AQ103" i="5"/>
  <c r="F110" i="5"/>
  <c r="AC94" i="5"/>
  <c r="I112" i="5"/>
  <c r="AV106" i="5"/>
  <c r="AX93" i="5"/>
  <c r="K110" i="5"/>
  <c r="C125" i="5"/>
  <c r="Z97" i="5"/>
  <c r="J101" i="5"/>
  <c r="AF116" i="5"/>
  <c r="Z92" i="5"/>
  <c r="R133" i="5"/>
  <c r="C121" i="5"/>
  <c r="AP121" i="5"/>
  <c r="T124" i="5"/>
  <c r="E128" i="5"/>
  <c r="V118" i="5"/>
  <c r="AM93" i="5"/>
  <c r="AB114" i="5"/>
  <c r="L132" i="5"/>
  <c r="AO135" i="5"/>
  <c r="H110" i="5"/>
  <c r="Z125" i="5"/>
  <c r="O127" i="5"/>
  <c r="Y126" i="5"/>
  <c r="M97" i="5"/>
  <c r="AA121" i="5"/>
  <c r="L137" i="5"/>
  <c r="Y95" i="5"/>
  <c r="D121" i="5"/>
  <c r="K120" i="5"/>
  <c r="K137" i="5"/>
  <c r="L119" i="5"/>
  <c r="AI115" i="5"/>
  <c r="X116" i="5"/>
  <c r="AO128" i="5"/>
  <c r="G94" i="5"/>
  <c r="V110" i="5"/>
  <c r="E102" i="5"/>
  <c r="I121" i="5"/>
  <c r="Y91" i="5"/>
  <c r="AL119" i="5"/>
  <c r="Q125" i="5"/>
  <c r="AW134" i="5"/>
  <c r="V137" i="5"/>
  <c r="K106" i="5"/>
  <c r="M122" i="5"/>
  <c r="AH94" i="5"/>
  <c r="U107" i="5"/>
  <c r="AP123" i="5"/>
  <c r="AB136" i="5"/>
  <c r="V91" i="5"/>
  <c r="S126" i="5"/>
  <c r="L104" i="5"/>
  <c r="Q127" i="5"/>
  <c r="C115" i="5"/>
  <c r="AS102" i="5"/>
  <c r="AH127" i="5"/>
  <c r="T102" i="5"/>
  <c r="AS96" i="5"/>
  <c r="W95" i="5"/>
  <c r="E99" i="5"/>
  <c r="F105" i="5"/>
  <c r="M128" i="5"/>
  <c r="AM125" i="5"/>
  <c r="AC99" i="5"/>
  <c r="AT118" i="5"/>
  <c r="AO107" i="5"/>
  <c r="R104" i="5"/>
  <c r="AB105" i="5"/>
  <c r="AE94" i="5"/>
  <c r="AX119" i="5"/>
  <c r="AX120" i="5"/>
  <c r="Y116" i="5"/>
  <c r="AA94" i="5"/>
  <c r="AA113" i="5"/>
  <c r="AL108" i="5"/>
  <c r="U110" i="5"/>
  <c r="I119" i="5"/>
  <c r="D134" i="5"/>
  <c r="AF108" i="5"/>
  <c r="AC93" i="5"/>
  <c r="AS120" i="5"/>
  <c r="AA130" i="5"/>
  <c r="AP118" i="5"/>
  <c r="AB137" i="5"/>
  <c r="AI128" i="5"/>
  <c r="V122" i="5"/>
  <c r="AD100" i="5"/>
  <c r="AS94" i="5"/>
  <c r="F94" i="5"/>
  <c r="AT119" i="5"/>
  <c r="N94" i="5"/>
  <c r="Y108" i="5"/>
  <c r="I91" i="5"/>
  <c r="AU102" i="5"/>
  <c r="AP103" i="5"/>
  <c r="O116" i="5"/>
  <c r="Q96" i="5"/>
  <c r="E117" i="5"/>
  <c r="T107" i="5"/>
  <c r="T131" i="5"/>
  <c r="AN121" i="5"/>
  <c r="T130" i="5"/>
  <c r="AD110" i="5"/>
  <c r="AV125" i="5"/>
  <c r="N90" i="5"/>
  <c r="AI99" i="5"/>
  <c r="V132" i="5"/>
  <c r="Q126" i="5"/>
  <c r="AR121" i="5"/>
  <c r="AE106" i="5"/>
  <c r="AT124" i="5"/>
  <c r="AV93" i="5"/>
  <c r="AT121" i="5"/>
  <c r="AT126" i="5"/>
  <c r="R134" i="5"/>
  <c r="T94" i="5"/>
  <c r="AA107" i="5"/>
  <c r="R112" i="5"/>
  <c r="AR104" i="5"/>
  <c r="W106" i="5"/>
  <c r="H125" i="5"/>
  <c r="C130" i="5"/>
  <c r="M116" i="5"/>
  <c r="O121" i="5"/>
  <c r="AF129" i="5"/>
  <c r="AK96" i="5"/>
  <c r="AU105" i="5"/>
  <c r="I137" i="5"/>
  <c r="AK119" i="5"/>
  <c r="E121" i="5"/>
  <c r="AG124" i="5"/>
  <c r="H101" i="5"/>
  <c r="AV105" i="5"/>
  <c r="AB108" i="5"/>
  <c r="R110" i="5"/>
  <c r="AI94" i="5"/>
  <c r="Y120" i="5"/>
  <c r="Q107" i="5"/>
  <c r="N102" i="5"/>
  <c r="AA119" i="5"/>
  <c r="AQ132" i="5"/>
  <c r="AL92" i="5"/>
  <c r="O136" i="5"/>
  <c r="R102" i="5"/>
  <c r="AK98" i="5"/>
  <c r="V103" i="5"/>
  <c r="AS97" i="5"/>
  <c r="U134" i="5"/>
  <c r="AS125" i="5"/>
  <c r="AW113" i="5"/>
  <c r="AX117" i="5"/>
  <c r="H105" i="5"/>
  <c r="G109" i="5"/>
  <c r="AQ94" i="5"/>
  <c r="AD94" i="5"/>
  <c r="P117" i="5"/>
  <c r="AK137" i="5"/>
  <c r="Z100" i="5"/>
  <c r="X98" i="5"/>
  <c r="U92" i="5"/>
  <c r="AS109" i="5"/>
  <c r="V99" i="5"/>
  <c r="Z93" i="5"/>
  <c r="E100" i="5"/>
  <c r="T111" i="5"/>
  <c r="AS99" i="5"/>
  <c r="AT107" i="5"/>
  <c r="AV95" i="5"/>
  <c r="R94" i="5"/>
  <c r="AU107" i="5"/>
  <c r="K113" i="5"/>
  <c r="P126" i="5"/>
  <c r="AH104" i="5"/>
  <c r="AH115" i="5"/>
  <c r="AN92" i="5"/>
  <c r="H98" i="5"/>
  <c r="AP106" i="5"/>
  <c r="AC104" i="5"/>
  <c r="C96" i="5"/>
  <c r="Q98" i="5"/>
  <c r="AC117" i="5"/>
  <c r="AF127" i="5"/>
  <c r="AV103" i="5"/>
  <c r="W125" i="5"/>
  <c r="AP119" i="5"/>
  <c r="AR127" i="5"/>
  <c r="D129" i="5"/>
  <c r="Z118" i="5"/>
  <c r="AT113" i="5"/>
  <c r="C122" i="5"/>
  <c r="AW130" i="5"/>
  <c r="J122" i="5"/>
  <c r="AD123" i="5"/>
  <c r="T108" i="5"/>
  <c r="AG111" i="5"/>
  <c r="J105" i="5"/>
  <c r="AW112" i="5"/>
  <c r="C103" i="5"/>
  <c r="E103" i="5"/>
  <c r="AC106" i="5"/>
  <c r="AG103" i="5"/>
  <c r="AC105" i="5"/>
  <c r="F117" i="5"/>
  <c r="Q112" i="5"/>
  <c r="AX106" i="5"/>
  <c r="X136" i="5"/>
  <c r="AW114" i="5"/>
  <c r="J93" i="5"/>
  <c r="F103" i="5"/>
  <c r="R128" i="5"/>
  <c r="AM96" i="5"/>
  <c r="AR92" i="5"/>
  <c r="K126" i="5"/>
  <c r="AL120" i="5"/>
  <c r="AA118" i="5"/>
  <c r="AD114" i="5"/>
  <c r="C118" i="5"/>
  <c r="AA132" i="5"/>
  <c r="AC90" i="5"/>
  <c r="AB96" i="5"/>
  <c r="M121" i="5"/>
  <c r="AE123" i="5"/>
  <c r="AP99" i="5"/>
  <c r="AQ107" i="5"/>
  <c r="AP116" i="5"/>
  <c r="D90" i="5"/>
  <c r="Z113" i="5"/>
  <c r="AB118" i="5"/>
  <c r="H99" i="5"/>
  <c r="L97" i="5"/>
  <c r="AN98" i="5"/>
  <c r="AM112" i="5"/>
  <c r="AC115" i="5"/>
  <c r="D113" i="5"/>
  <c r="Q111" i="5"/>
  <c r="M117" i="5"/>
  <c r="Q119" i="5"/>
  <c r="V98" i="5"/>
  <c r="AN93" i="5"/>
  <c r="W122" i="5"/>
  <c r="AG95" i="5"/>
  <c r="AL91" i="5"/>
  <c r="AE131" i="5"/>
  <c r="K111" i="5"/>
  <c r="C112" i="5"/>
  <c r="M135" i="5"/>
  <c r="AF132" i="5"/>
  <c r="AX135" i="5"/>
  <c r="N134" i="5"/>
  <c r="R119" i="5"/>
  <c r="AR103" i="5"/>
  <c r="X99" i="5"/>
  <c r="AR134" i="5"/>
  <c r="AD112" i="5"/>
  <c r="AT109" i="5"/>
  <c r="AG109" i="5"/>
  <c r="I113" i="5"/>
  <c r="AD104" i="5"/>
  <c r="AW118" i="5"/>
  <c r="AI118" i="5"/>
  <c r="I131" i="5"/>
  <c r="M129" i="5"/>
  <c r="O90" i="5"/>
  <c r="AX136" i="5"/>
  <c r="AK90" i="5"/>
  <c r="AL132" i="5"/>
  <c r="AP131" i="5"/>
  <c r="H94" i="5"/>
  <c r="F99" i="5"/>
  <c r="Q115" i="5"/>
  <c r="AF91" i="5"/>
  <c r="AD103" i="5"/>
  <c r="H118" i="5"/>
  <c r="Q128" i="5"/>
  <c r="AJ99" i="5"/>
  <c r="AL106" i="5"/>
  <c r="AT94" i="5"/>
  <c r="AE119" i="5"/>
  <c r="AW102" i="5"/>
  <c r="W117" i="5"/>
  <c r="L122" i="5"/>
  <c r="AT103" i="5"/>
  <c r="AS108" i="5"/>
  <c r="Z102" i="5"/>
  <c r="E105" i="5"/>
  <c r="AR119" i="5"/>
  <c r="D135" i="5"/>
  <c r="X131" i="5"/>
  <c r="M96" i="5"/>
  <c r="X126" i="5"/>
  <c r="X100" i="5"/>
  <c r="N120" i="5"/>
  <c r="AG119" i="5"/>
  <c r="AS104" i="5"/>
  <c r="AO104" i="5"/>
  <c r="E92" i="5"/>
  <c r="AK113" i="5"/>
  <c r="U109" i="5"/>
  <c r="AO130" i="5"/>
  <c r="AA91" i="5"/>
  <c r="AR128" i="5"/>
  <c r="N100" i="5"/>
  <c r="AN106" i="5"/>
  <c r="I116" i="5"/>
  <c r="AN102" i="5"/>
  <c r="AD121" i="5"/>
  <c r="AI102" i="5"/>
  <c r="N103" i="5"/>
  <c r="AN132" i="5"/>
  <c r="D104" i="5"/>
  <c r="H136" i="5"/>
  <c r="M95" i="5"/>
  <c r="AV128" i="5"/>
  <c r="I108" i="5"/>
  <c r="J107" i="5"/>
  <c r="M130" i="5"/>
  <c r="AE103" i="5"/>
  <c r="H114" i="5"/>
  <c r="AS95" i="5"/>
  <c r="G92" i="5"/>
  <c r="M127" i="5"/>
  <c r="N108" i="5"/>
  <c r="H121" i="5"/>
  <c r="V109" i="5"/>
  <c r="V123" i="5"/>
  <c r="K96" i="5"/>
  <c r="AR105" i="5"/>
  <c r="AW104" i="5"/>
  <c r="AT95" i="5"/>
  <c r="X94" i="5"/>
  <c r="AQ108" i="5"/>
  <c r="V111" i="5"/>
  <c r="AQ114" i="5"/>
  <c r="V136" i="5"/>
  <c r="U129" i="5"/>
  <c r="I115" i="5"/>
  <c r="C91" i="5"/>
  <c r="AT135" i="5"/>
  <c r="AB115" i="5"/>
  <c r="W94" i="5"/>
  <c r="Z99" i="5"/>
  <c r="AW131" i="5"/>
  <c r="E93" i="5"/>
  <c r="M111" i="5"/>
  <c r="AW111" i="5"/>
  <c r="K102" i="5"/>
  <c r="AU93" i="5"/>
  <c r="AX102" i="5"/>
  <c r="F127" i="5"/>
  <c r="X108" i="5"/>
  <c r="I106" i="5"/>
  <c r="O99" i="5"/>
  <c r="X106" i="5"/>
  <c r="W98" i="5"/>
  <c r="AS106" i="5"/>
  <c r="AC101" i="5"/>
  <c r="AW122" i="5"/>
  <c r="AD108" i="5"/>
  <c r="Q91" i="5"/>
  <c r="I117" i="5"/>
  <c r="X95" i="5"/>
  <c r="J104" i="5"/>
  <c r="AQ104" i="5"/>
  <c r="AB90" i="5"/>
  <c r="Z98" i="5"/>
  <c r="H102" i="5"/>
  <c r="F95" i="5"/>
  <c r="F93" i="5"/>
  <c r="P93" i="5"/>
  <c r="W101" i="5"/>
  <c r="AW115" i="5"/>
  <c r="AT90" i="5"/>
  <c r="F90" i="5"/>
  <c r="R105" i="5"/>
  <c r="F114" i="5"/>
  <c r="V106" i="5"/>
  <c r="AB119" i="5"/>
  <c r="AX96" i="5"/>
  <c r="F120" i="5"/>
  <c r="G114" i="5"/>
  <c r="Y103" i="5"/>
  <c r="O106" i="5"/>
  <c r="O102" i="5"/>
  <c r="AG107" i="5"/>
  <c r="AO106" i="5"/>
  <c r="O95" i="5"/>
  <c r="L111" i="5"/>
  <c r="AL102" i="5"/>
  <c r="AO95" i="5"/>
  <c r="AM131" i="5"/>
  <c r="G93" i="5"/>
  <c r="K132" i="5"/>
  <c r="S102" i="5"/>
  <c r="AP107" i="5"/>
  <c r="Q117" i="5"/>
  <c r="AA122" i="5"/>
  <c r="AF100" i="5"/>
  <c r="AI116" i="5"/>
  <c r="S107" i="5"/>
  <c r="AS136" i="5"/>
  <c r="D103" i="5"/>
  <c r="W118" i="5"/>
  <c r="AD106" i="5"/>
  <c r="AA104" i="5"/>
  <c r="I118" i="5"/>
  <c r="D122" i="5"/>
  <c r="AK95" i="5"/>
  <c r="AV130" i="5"/>
  <c r="D95" i="5"/>
  <c r="F97" i="5"/>
  <c r="S94" i="5"/>
  <c r="AG92" i="5"/>
  <c r="Y113" i="5"/>
  <c r="AT117" i="5"/>
  <c r="V124" i="5"/>
  <c r="AX130" i="5"/>
  <c r="AV92" i="5"/>
  <c r="AF117" i="5"/>
  <c r="AE132" i="5"/>
  <c r="T99" i="5"/>
  <c r="M132" i="5"/>
  <c r="J123" i="5"/>
  <c r="AC109" i="5"/>
  <c r="W110" i="5"/>
  <c r="AD118" i="5"/>
  <c r="V97" i="5"/>
  <c r="H112" i="5"/>
  <c r="I122" i="5"/>
  <c r="H96" i="5"/>
  <c r="AR102" i="5"/>
  <c r="AN137" i="5"/>
  <c r="AG110" i="5"/>
  <c r="AQ95" i="5"/>
  <c r="AV99" i="5"/>
  <c r="AD91" i="5"/>
  <c r="W105" i="5"/>
  <c r="AB102" i="5"/>
  <c r="AA134" i="5"/>
  <c r="E106" i="5"/>
  <c r="V108" i="5"/>
  <c r="P91" i="5"/>
  <c r="J91" i="5"/>
  <c r="G112" i="5"/>
  <c r="U114" i="5"/>
  <c r="AB107" i="5"/>
  <c r="AA117" i="5"/>
  <c r="AP90" i="5"/>
  <c r="T122" i="5"/>
  <c r="S134" i="5"/>
  <c r="D91" i="5"/>
  <c r="Q104" i="5"/>
  <c r="X91" i="5"/>
  <c r="W121" i="5"/>
  <c r="U100" i="5"/>
  <c r="P105" i="5"/>
  <c r="AI97" i="5"/>
  <c r="AX109" i="5"/>
  <c r="V135" i="5"/>
  <c r="L96" i="5"/>
  <c r="AV115" i="5"/>
  <c r="AW124" i="5"/>
  <c r="L99" i="5"/>
  <c r="AI106" i="5"/>
  <c r="AN104" i="5"/>
  <c r="D106" i="5"/>
  <c r="T97" i="5"/>
  <c r="AQ99" i="5"/>
  <c r="AJ95" i="5"/>
  <c r="AU104" i="5"/>
  <c r="AL94" i="5"/>
  <c r="AM92" i="5"/>
  <c r="AX90" i="5"/>
  <c r="AP135" i="5"/>
  <c r="P96" i="5"/>
  <c r="N137" i="5"/>
  <c r="AB110" i="5"/>
  <c r="AK111" i="5"/>
  <c r="AV118" i="5"/>
  <c r="AK102" i="5"/>
  <c r="AI100" i="5"/>
  <c r="W104" i="5"/>
  <c r="T90" i="5"/>
  <c r="D102" i="5"/>
  <c r="AR122" i="5"/>
  <c r="N95" i="5"/>
  <c r="AQ129" i="5"/>
  <c r="AQ119" i="5"/>
  <c r="AV97" i="5"/>
  <c r="P128" i="5"/>
  <c r="AN90" i="5"/>
  <c r="M100" i="5"/>
  <c r="L121" i="5"/>
  <c r="AI105" i="5"/>
  <c r="AK99" i="5"/>
  <c r="AM110" i="5"/>
  <c r="AU110" i="5"/>
  <c r="AP108" i="5"/>
  <c r="AH118" i="5"/>
  <c r="AF115" i="5"/>
  <c r="AR111" i="5"/>
  <c r="AU90" i="5"/>
  <c r="AS105" i="5"/>
  <c r="J131" i="5"/>
  <c r="AL126" i="5"/>
  <c r="O111" i="5"/>
  <c r="AB133" i="5"/>
  <c r="AO112" i="5"/>
  <c r="AE128" i="5"/>
  <c r="Y112" i="5"/>
  <c r="X104" i="5"/>
  <c r="K108" i="5"/>
  <c r="Z123" i="5"/>
  <c r="AL103" i="5"/>
  <c r="AR108" i="5"/>
  <c r="AS116" i="5"/>
  <c r="AR114" i="5"/>
  <c r="Q109" i="5"/>
  <c r="W93" i="5"/>
  <c r="E126" i="5"/>
  <c r="AW107" i="5"/>
  <c r="X103" i="5"/>
  <c r="X105" i="5"/>
  <c r="AJ116" i="5"/>
  <c r="V133" i="5"/>
  <c r="S91" i="5"/>
  <c r="C104" i="5"/>
  <c r="AO98" i="5"/>
  <c r="X127" i="5"/>
  <c r="AU96" i="5"/>
  <c r="X101" i="5"/>
  <c r="AN94" i="5"/>
  <c r="I132" i="5"/>
  <c r="Z90" i="5"/>
  <c r="F130" i="5"/>
  <c r="AU103" i="5"/>
  <c r="AK91" i="5"/>
  <c r="AV94" i="5"/>
  <c r="AT133" i="5"/>
  <c r="S111" i="5"/>
  <c r="M113" i="5"/>
  <c r="AU101" i="5"/>
  <c r="I103" i="5"/>
  <c r="I92" i="5"/>
  <c r="G90" i="5"/>
  <c r="AT104" i="5"/>
  <c r="AM111" i="5"/>
  <c r="T136" i="5"/>
  <c r="AT92" i="5"/>
  <c r="AT101" i="5"/>
  <c r="AB131" i="5"/>
  <c r="W100" i="5"/>
  <c r="AB122" i="5"/>
  <c r="AT108" i="5"/>
  <c r="L124" i="5"/>
  <c r="F113" i="5"/>
  <c r="AJ107" i="5"/>
  <c r="AS100" i="5"/>
  <c r="AH93" i="5"/>
  <c r="H115" i="5"/>
  <c r="AP92" i="5"/>
  <c r="AR115" i="5"/>
  <c r="O103" i="5"/>
  <c r="AQ102" i="5"/>
  <c r="AH121" i="5"/>
  <c r="AL118" i="5"/>
  <c r="H93" i="5"/>
  <c r="AX97" i="5"/>
  <c r="H92" i="5"/>
  <c r="J97" i="5"/>
  <c r="L114" i="5"/>
  <c r="AC116" i="5"/>
  <c r="AL95" i="5"/>
  <c r="K105" i="5"/>
  <c r="AT99" i="5"/>
  <c r="H111" i="5"/>
  <c r="W96" i="5"/>
  <c r="M101" i="5"/>
  <c r="AW93" i="5"/>
  <c r="F108" i="5"/>
  <c r="AG106" i="5"/>
  <c r="U101" i="5"/>
  <c r="AV90" i="5"/>
  <c r="AS117" i="5"/>
  <c r="AX137" i="5"/>
  <c r="Z136" i="5"/>
  <c r="AH109" i="5"/>
  <c r="K30" i="4"/>
  <c r="V15" i="4"/>
  <c r="K38" i="4"/>
  <c r="K71" i="4"/>
  <c r="K74" i="4"/>
  <c r="V17" i="4"/>
  <c r="K28" i="4"/>
  <c r="K37" i="4"/>
  <c r="K61" i="4"/>
  <c r="K64" i="4"/>
  <c r="K36" i="4"/>
  <c r="K67" i="4"/>
  <c r="K63" i="4"/>
  <c r="K52" i="4"/>
  <c r="K59" i="4"/>
  <c r="K43" i="4"/>
  <c r="K34" i="4"/>
  <c r="K32" i="4"/>
  <c r="K48" i="4"/>
  <c r="V18" i="4"/>
  <c r="K40" i="4"/>
  <c r="K72" i="4"/>
  <c r="K68" i="4"/>
  <c r="K39" i="4"/>
  <c r="V16" i="4"/>
  <c r="K70" i="4"/>
  <c r="K56" i="4"/>
  <c r="K57" i="4"/>
  <c r="K44" i="4"/>
  <c r="K69" i="4"/>
  <c r="K29" i="4"/>
  <c r="K49" i="4"/>
  <c r="K50" i="4"/>
  <c r="K60" i="4"/>
  <c r="K46" i="4"/>
  <c r="V13" i="4"/>
  <c r="K47" i="4"/>
  <c r="K35" i="4"/>
  <c r="K27" i="4"/>
  <c r="K26" i="4"/>
  <c r="K54" i="4"/>
  <c r="K41" i="4"/>
  <c r="K65" i="4"/>
  <c r="K58" i="4"/>
  <c r="K55" i="4"/>
  <c r="K66" i="4"/>
  <c r="K33" i="4"/>
  <c r="K45" i="4"/>
  <c r="K31" i="4"/>
  <c r="K53" i="4"/>
  <c r="K75" i="4"/>
  <c r="K62" i="4"/>
  <c r="K73" i="4"/>
  <c r="V14" i="4"/>
  <c r="K42" i="4"/>
  <c r="K51" i="4"/>
  <c r="J65" i="4"/>
  <c r="J38" i="4"/>
  <c r="J58" i="4"/>
  <c r="J54" i="4"/>
  <c r="J42" i="4"/>
  <c r="J43" i="4"/>
  <c r="J68" i="4"/>
  <c r="J66" i="4"/>
  <c r="J34" i="4"/>
  <c r="J74" i="4"/>
  <c r="J50" i="4"/>
  <c r="J31" i="4"/>
  <c r="J62" i="4"/>
  <c r="J60" i="4"/>
  <c r="J55" i="4"/>
  <c r="U18" i="4"/>
  <c r="J52" i="4"/>
  <c r="U17" i="4"/>
  <c r="J30" i="4"/>
  <c r="U13" i="4"/>
  <c r="J39" i="4"/>
  <c r="J64" i="4"/>
  <c r="J67" i="4"/>
  <c r="J47" i="4"/>
  <c r="J49" i="4"/>
  <c r="J51" i="4"/>
  <c r="J59" i="4"/>
  <c r="J44" i="4"/>
  <c r="J56" i="4"/>
  <c r="J29" i="4"/>
  <c r="J72" i="4"/>
  <c r="U14" i="4"/>
  <c r="U15" i="4"/>
  <c r="J53" i="4"/>
  <c r="J57" i="4"/>
  <c r="J70" i="4"/>
  <c r="U16" i="4"/>
  <c r="J69" i="4"/>
  <c r="J75" i="4"/>
  <c r="J45" i="4"/>
  <c r="J46" i="4"/>
  <c r="J26" i="4"/>
  <c r="J63" i="4"/>
  <c r="J32" i="4"/>
  <c r="J40" i="4"/>
  <c r="J37" i="4"/>
  <c r="J48" i="4"/>
  <c r="J33" i="4"/>
  <c r="J36" i="4"/>
  <c r="J73" i="4"/>
  <c r="J61" i="4"/>
  <c r="J27" i="4"/>
  <c r="J41" i="4"/>
  <c r="J71" i="4"/>
  <c r="J28" i="4"/>
  <c r="J35" i="4"/>
  <c r="I72" i="4"/>
  <c r="I29" i="4"/>
  <c r="I40" i="4"/>
  <c r="I36" i="4"/>
  <c r="T17" i="4"/>
  <c r="I66" i="4"/>
  <c r="I62" i="4"/>
  <c r="I42" i="4"/>
  <c r="I55" i="4"/>
  <c r="I56" i="4"/>
  <c r="I63" i="4"/>
  <c r="I52" i="4"/>
  <c r="I70" i="4"/>
  <c r="I71" i="4"/>
  <c r="I30" i="4"/>
  <c r="I75" i="4"/>
  <c r="I74" i="4"/>
  <c r="I67" i="4"/>
  <c r="I59" i="4"/>
  <c r="I68" i="4"/>
  <c r="I69" i="4"/>
  <c r="T14" i="4"/>
  <c r="I33" i="4"/>
  <c r="I54" i="4"/>
  <c r="I53" i="4"/>
  <c r="I41" i="4"/>
  <c r="I39" i="4"/>
  <c r="I26" i="4"/>
  <c r="I58" i="4"/>
  <c r="I73" i="4"/>
  <c r="I46" i="4"/>
  <c r="I43" i="4"/>
  <c r="I28" i="4"/>
  <c r="I32" i="4"/>
  <c r="T15" i="4"/>
  <c r="I51" i="4"/>
  <c r="T13" i="4"/>
  <c r="I61" i="4"/>
  <c r="I31" i="4"/>
  <c r="I45" i="4"/>
  <c r="I65" i="4"/>
  <c r="I35" i="4"/>
  <c r="T16" i="4"/>
  <c r="I37" i="4"/>
  <c r="T18" i="4"/>
  <c r="I50" i="4"/>
  <c r="I44" i="4"/>
  <c r="I64" i="4"/>
  <c r="I34" i="4"/>
  <c r="I60" i="4"/>
  <c r="I38" i="4"/>
  <c r="I48" i="4"/>
  <c r="I47" i="4"/>
  <c r="I57" i="4"/>
  <c r="I27" i="4"/>
  <c r="I49" i="4"/>
  <c r="H47" i="4"/>
  <c r="H60" i="4"/>
  <c r="H39" i="4"/>
  <c r="H65" i="4"/>
  <c r="H41" i="4"/>
  <c r="H50" i="4"/>
  <c r="H70" i="4"/>
  <c r="H71" i="4"/>
  <c r="H30" i="4"/>
  <c r="H59" i="4"/>
  <c r="H48" i="4"/>
  <c r="S16" i="4"/>
  <c r="H57" i="4"/>
  <c r="H73" i="4"/>
  <c r="H61" i="4"/>
  <c r="H45" i="4"/>
  <c r="H72" i="4"/>
  <c r="H43" i="4"/>
  <c r="H56" i="4"/>
  <c r="S13" i="4"/>
  <c r="H66" i="4"/>
  <c r="H44" i="4"/>
  <c r="H69" i="4"/>
  <c r="H27" i="4"/>
  <c r="H40" i="4"/>
  <c r="S15" i="4"/>
  <c r="H64" i="4"/>
  <c r="H32" i="4"/>
  <c r="H68" i="4"/>
  <c r="H67" i="4"/>
  <c r="H34" i="4"/>
  <c r="H33" i="4"/>
  <c r="H38" i="4"/>
  <c r="H29" i="4"/>
  <c r="S18" i="4"/>
  <c r="H49" i="4"/>
  <c r="H63" i="4"/>
  <c r="H53" i="4"/>
  <c r="H62" i="4"/>
  <c r="H55" i="4"/>
  <c r="H52" i="4"/>
  <c r="S17" i="4"/>
  <c r="H54" i="4"/>
  <c r="H28" i="4"/>
  <c r="H26" i="4"/>
  <c r="H74" i="4"/>
  <c r="H51" i="4"/>
  <c r="H35" i="4"/>
  <c r="H42" i="4"/>
  <c r="H36" i="4"/>
  <c r="H46" i="4"/>
  <c r="H37" i="4"/>
  <c r="S14" i="4"/>
  <c r="H58" i="4"/>
  <c r="H31" i="4"/>
  <c r="H75" i="4"/>
  <c r="F46" i="4"/>
  <c r="F29" i="4"/>
  <c r="F66" i="4"/>
  <c r="F56" i="4"/>
  <c r="Q18" i="4"/>
  <c r="F62" i="4"/>
  <c r="F44" i="4"/>
  <c r="F32" i="4"/>
  <c r="F45" i="4"/>
  <c r="F35" i="4"/>
  <c r="F42" i="4"/>
  <c r="F31" i="4"/>
  <c r="F47" i="4"/>
  <c r="F43" i="4"/>
  <c r="F39" i="4"/>
  <c r="F70" i="4"/>
  <c r="F33" i="4"/>
  <c r="F49" i="4"/>
  <c r="F74" i="4"/>
  <c r="F55" i="4"/>
  <c r="F27" i="4"/>
  <c r="F38" i="4"/>
  <c r="Q16" i="4"/>
  <c r="Q17" i="4"/>
  <c r="F37" i="4"/>
  <c r="F67" i="4"/>
  <c r="F69" i="4"/>
  <c r="F71" i="4"/>
  <c r="F50" i="4"/>
  <c r="F65" i="4"/>
  <c r="F72" i="4"/>
  <c r="F40" i="4"/>
  <c r="F52" i="4"/>
  <c r="F61" i="4"/>
  <c r="F54" i="4"/>
  <c r="F73" i="4"/>
  <c r="F36" i="4"/>
  <c r="Q15" i="4"/>
  <c r="F48" i="4"/>
  <c r="F64" i="4"/>
  <c r="F34" i="4"/>
  <c r="F57" i="4"/>
  <c r="F26" i="4"/>
  <c r="F28" i="4"/>
  <c r="Q13" i="4"/>
  <c r="F60" i="4"/>
  <c r="F41" i="4"/>
  <c r="F59" i="4"/>
  <c r="Q14" i="4"/>
  <c r="F53" i="4"/>
  <c r="F30" i="4"/>
  <c r="F75" i="4"/>
  <c r="F58" i="4"/>
  <c r="F68" i="4"/>
  <c r="F63" i="4"/>
  <c r="F51" i="4"/>
  <c r="E42" i="4"/>
  <c r="E29" i="4"/>
  <c r="E30" i="4"/>
  <c r="E49" i="4"/>
  <c r="E60" i="4"/>
  <c r="E66" i="4"/>
  <c r="P16" i="4"/>
  <c r="P13" i="4"/>
  <c r="E40" i="4"/>
  <c r="E64" i="4"/>
  <c r="E69" i="4"/>
  <c r="E32" i="4"/>
  <c r="E39" i="4"/>
  <c r="E71" i="4"/>
  <c r="E59" i="4"/>
  <c r="E65" i="4"/>
  <c r="E28" i="4"/>
  <c r="E38" i="4"/>
  <c r="E51" i="4"/>
  <c r="E36" i="4"/>
  <c r="E56" i="4"/>
  <c r="E67" i="4"/>
  <c r="E31" i="4"/>
  <c r="P15" i="4"/>
  <c r="E53" i="4"/>
  <c r="E33" i="4"/>
  <c r="E41" i="4"/>
  <c r="E34" i="4"/>
  <c r="E57" i="4"/>
  <c r="E75" i="4"/>
  <c r="E50" i="4"/>
  <c r="E63" i="4"/>
  <c r="E54" i="4"/>
  <c r="E45" i="4"/>
  <c r="E68" i="4"/>
  <c r="E43" i="4"/>
  <c r="E58" i="4"/>
  <c r="E61" i="4"/>
  <c r="P14" i="4"/>
  <c r="E26" i="4"/>
  <c r="E46" i="4"/>
  <c r="P17" i="4"/>
  <c r="E72" i="4"/>
  <c r="E48" i="4"/>
  <c r="E35" i="4"/>
  <c r="E52" i="4"/>
  <c r="E70" i="4"/>
  <c r="E73" i="4"/>
  <c r="E44" i="4"/>
  <c r="E74" i="4"/>
  <c r="P18" i="4"/>
  <c r="E37" i="4"/>
  <c r="E55" i="4"/>
  <c r="E47" i="4"/>
  <c r="E27" i="4"/>
  <c r="E62" i="4"/>
  <c r="D59" i="4"/>
  <c r="D58" i="4"/>
  <c r="D54" i="4"/>
  <c r="D74" i="4"/>
  <c r="O14" i="4"/>
  <c r="D72" i="4"/>
  <c r="D53" i="4"/>
  <c r="D64" i="4"/>
  <c r="O17" i="4"/>
  <c r="D51" i="4"/>
  <c r="D69" i="4"/>
  <c r="D27" i="4"/>
  <c r="D61" i="4"/>
  <c r="D28" i="4"/>
  <c r="D37" i="4"/>
  <c r="D55" i="4"/>
  <c r="D70" i="4"/>
  <c r="D35" i="4"/>
  <c r="D31" i="4"/>
  <c r="D30" i="4"/>
  <c r="D38" i="4"/>
  <c r="D49" i="4"/>
  <c r="D68" i="4"/>
  <c r="D44" i="4"/>
  <c r="D50" i="4"/>
  <c r="D47" i="4"/>
  <c r="D52" i="4"/>
  <c r="D66" i="4"/>
  <c r="D60" i="4"/>
  <c r="D36" i="4"/>
  <c r="D48" i="4"/>
  <c r="D32" i="4"/>
  <c r="D63" i="4"/>
  <c r="D56" i="4"/>
  <c r="O15" i="4"/>
  <c r="D57" i="4"/>
  <c r="D73" i="4"/>
  <c r="D71" i="4"/>
  <c r="D46" i="4"/>
  <c r="D26" i="4"/>
  <c r="O18" i="4"/>
  <c r="O16" i="4"/>
  <c r="D65" i="4"/>
  <c r="D42" i="4"/>
  <c r="D43" i="4"/>
  <c r="D75" i="4"/>
  <c r="O13" i="4"/>
  <c r="D33" i="4"/>
  <c r="D40" i="4"/>
  <c r="D39" i="4"/>
  <c r="D62" i="4"/>
  <c r="D29" i="4"/>
  <c r="D34" i="4"/>
  <c r="D45" i="4"/>
  <c r="D41" i="4"/>
  <c r="D67" i="4"/>
  <c r="C41" i="4"/>
  <c r="C42" i="4"/>
  <c r="C72" i="4"/>
  <c r="C47" i="4"/>
  <c r="C46" i="4"/>
  <c r="C59" i="4"/>
  <c r="C37" i="4"/>
  <c r="C63" i="4"/>
  <c r="N15" i="4"/>
  <c r="C29" i="4"/>
  <c r="C39" i="4"/>
  <c r="C40" i="4"/>
  <c r="C55" i="4"/>
  <c r="C75" i="4"/>
  <c r="N14" i="4"/>
  <c r="C49" i="4"/>
  <c r="C36" i="4"/>
  <c r="C28" i="4"/>
  <c r="C57" i="4"/>
  <c r="C53" i="4"/>
  <c r="C38" i="4"/>
  <c r="C56" i="4"/>
  <c r="C66" i="4"/>
  <c r="C60" i="4"/>
  <c r="C54" i="4"/>
  <c r="C71" i="4"/>
  <c r="C62" i="4"/>
  <c r="C48" i="4"/>
  <c r="C27" i="4"/>
  <c r="C43" i="4"/>
  <c r="C61" i="4"/>
  <c r="C74" i="4"/>
  <c r="C67" i="4"/>
  <c r="C33" i="4"/>
  <c r="N13" i="4"/>
  <c r="C70" i="4"/>
  <c r="C26" i="4"/>
  <c r="N18" i="4"/>
  <c r="C34" i="4"/>
  <c r="C58" i="4"/>
  <c r="C32" i="4"/>
  <c r="C69" i="4"/>
  <c r="C31" i="4"/>
  <c r="C73" i="4"/>
  <c r="C35" i="4"/>
  <c r="C65" i="4"/>
  <c r="C50" i="4"/>
  <c r="C52" i="4"/>
  <c r="C64" i="4"/>
  <c r="C30" i="4"/>
  <c r="C68" i="4"/>
  <c r="C51" i="4"/>
  <c r="N17" i="4"/>
  <c r="C45" i="4"/>
  <c r="N16" i="4"/>
  <c r="C44" i="4"/>
  <c r="G38" i="4"/>
  <c r="G37" i="4"/>
  <c r="G73" i="4"/>
  <c r="G33" i="4"/>
  <c r="G72" i="4"/>
  <c r="G40" i="4"/>
  <c r="G50" i="4"/>
  <c r="G65" i="4"/>
  <c r="G39" i="4"/>
  <c r="G43" i="4"/>
  <c r="G27" i="4"/>
  <c r="G41" i="4"/>
  <c r="G54" i="4"/>
  <c r="G69" i="4"/>
  <c r="G32" i="4"/>
  <c r="G45" i="4"/>
  <c r="G59" i="4"/>
  <c r="G71" i="4"/>
  <c r="G51" i="4"/>
  <c r="G68" i="4"/>
  <c r="G56" i="4"/>
  <c r="R18" i="4"/>
  <c r="G36" i="4"/>
  <c r="R17" i="4"/>
  <c r="G70" i="4"/>
  <c r="G29" i="4"/>
  <c r="G28" i="4"/>
  <c r="G47" i="4"/>
  <c r="G49" i="4"/>
  <c r="R15" i="4"/>
  <c r="G61" i="4"/>
  <c r="G35" i="4"/>
  <c r="G62" i="4"/>
  <c r="R13" i="4"/>
  <c r="G60" i="4"/>
  <c r="G42" i="4"/>
  <c r="G74" i="4"/>
  <c r="G46" i="4"/>
  <c r="G31" i="4"/>
  <c r="G44" i="4"/>
  <c r="G75" i="4"/>
  <c r="R16" i="4"/>
  <c r="G34" i="4"/>
  <c r="G64" i="4"/>
  <c r="G55" i="4"/>
  <c r="G26" i="4"/>
  <c r="G63" i="4"/>
  <c r="G52" i="4"/>
  <c r="G57" i="4"/>
  <c r="G48" i="4"/>
  <c r="G30" i="4"/>
  <c r="R14" i="4"/>
  <c r="G66" i="4"/>
  <c r="G53" i="4"/>
  <c r="G58" i="4"/>
  <c r="G67" i="4"/>
  <c r="N54" i="4" l="1"/>
  <c r="Y54" i="4"/>
  <c r="Y62" i="4"/>
  <c r="N62" i="4"/>
  <c r="N26" i="4"/>
  <c r="Y26" i="4"/>
  <c r="Y68" i="4"/>
  <c r="N68" i="4"/>
  <c r="N39" i="4"/>
  <c r="Y39" i="4"/>
  <c r="O31" i="4"/>
  <c r="Z31" i="4"/>
  <c r="O35" i="4"/>
  <c r="Z35" i="4"/>
  <c r="O50" i="4"/>
  <c r="Z50" i="4"/>
  <c r="O54" i="4"/>
  <c r="Z54" i="4"/>
  <c r="O61" i="4"/>
  <c r="Z61" i="4"/>
  <c r="P45" i="4"/>
  <c r="AA45" i="4"/>
  <c r="AA38" i="4"/>
  <c r="P38" i="4"/>
  <c r="AA51" i="4"/>
  <c r="P51" i="4"/>
  <c r="AA34" i="4"/>
  <c r="P34" i="4"/>
  <c r="P28" i="4"/>
  <c r="AA28" i="4"/>
  <c r="AA54" i="4"/>
  <c r="P54" i="4"/>
  <c r="P53" i="4"/>
  <c r="AA53" i="4"/>
  <c r="AB69" i="4"/>
  <c r="Q69" i="4"/>
  <c r="Q37" i="4"/>
  <c r="AB37" i="4"/>
  <c r="AB55" i="4"/>
  <c r="Q55" i="4"/>
  <c r="AD64" i="4"/>
  <c r="S64" i="4"/>
  <c r="AD66" i="4"/>
  <c r="S66" i="4"/>
  <c r="T59" i="4"/>
  <c r="AE59" i="4"/>
  <c r="T43" i="4"/>
  <c r="AE43" i="4"/>
  <c r="U58" i="4"/>
  <c r="AH65" i="4"/>
  <c r="V65" i="4"/>
  <c r="R56" i="4"/>
  <c r="AC56" i="4"/>
  <c r="AC39" i="4"/>
  <c r="R39" i="4"/>
  <c r="Y75" i="4"/>
  <c r="N75" i="4"/>
  <c r="N51" i="4"/>
  <c r="Y51" i="4"/>
  <c r="Z37" i="4"/>
  <c r="O37" i="4"/>
  <c r="AA26" i="4"/>
  <c r="P26" i="4"/>
  <c r="AB70" i="4"/>
  <c r="Q70" i="4"/>
  <c r="R27" i="4"/>
  <c r="AC27" i="4"/>
  <c r="R71" i="4"/>
  <c r="AC71" i="4"/>
  <c r="R30" i="4"/>
  <c r="AC30" i="4"/>
  <c r="Y58" i="4"/>
  <c r="N58" i="4"/>
  <c r="Y52" i="4"/>
  <c r="N52" i="4"/>
  <c r="Y46" i="4"/>
  <c r="N46" i="4"/>
  <c r="N74" i="4"/>
  <c r="Y74" i="4"/>
  <c r="N37" i="4"/>
  <c r="Y37" i="4"/>
  <c r="N35" i="4"/>
  <c r="Y35" i="4"/>
  <c r="Y73" i="4"/>
  <c r="N73" i="4"/>
  <c r="Z58" i="4"/>
  <c r="O58" i="4"/>
  <c r="Z49" i="4"/>
  <c r="O49" i="4"/>
  <c r="Z34" i="4"/>
  <c r="O34" i="4"/>
  <c r="O43" i="4"/>
  <c r="Z43" i="4"/>
  <c r="Z47" i="4"/>
  <c r="O47" i="4"/>
  <c r="O74" i="4"/>
  <c r="Z74" i="4"/>
  <c r="AA42" i="4"/>
  <c r="P42" i="4"/>
  <c r="P68" i="4"/>
  <c r="AA68" i="4"/>
  <c r="AA57" i="4"/>
  <c r="P57" i="4"/>
  <c r="P64" i="4"/>
  <c r="AA64" i="4"/>
  <c r="AB45" i="4"/>
  <c r="Q45" i="4"/>
  <c r="AB38" i="4"/>
  <c r="Q38" i="4"/>
  <c r="AB47" i="4"/>
  <c r="Q47" i="4"/>
  <c r="AB57" i="4"/>
  <c r="Q57" i="4"/>
  <c r="AD43" i="4"/>
  <c r="S43" i="4"/>
  <c r="AE70" i="4"/>
  <c r="T70" i="4"/>
  <c r="AE52" i="4"/>
  <c r="T52" i="4"/>
  <c r="U38" i="4"/>
  <c r="V55" i="4"/>
  <c r="AH55" i="4"/>
  <c r="AC44" i="4"/>
  <c r="R44" i="4"/>
  <c r="Y70" i="4"/>
  <c r="N70" i="4"/>
  <c r="Z45" i="4"/>
  <c r="O45" i="4"/>
  <c r="O55" i="4"/>
  <c r="Z55" i="4"/>
  <c r="P60" i="4"/>
  <c r="AA60" i="4"/>
  <c r="Q67" i="4"/>
  <c r="AB67" i="4"/>
  <c r="AC43" i="4"/>
  <c r="R43" i="4"/>
  <c r="R28" i="4"/>
  <c r="AC28" i="4"/>
  <c r="AC37" i="4"/>
  <c r="R37" i="4"/>
  <c r="AC48" i="4"/>
  <c r="R48" i="4"/>
  <c r="R29" i="4"/>
  <c r="AC29" i="4"/>
  <c r="AC50" i="4"/>
  <c r="R50" i="4"/>
  <c r="AC61" i="4"/>
  <c r="R61" i="4"/>
  <c r="R72" i="4"/>
  <c r="AC72" i="4"/>
  <c r="AC46" i="4"/>
  <c r="R46" i="4"/>
  <c r="R31" i="4"/>
  <c r="AC31" i="4"/>
  <c r="R38" i="4"/>
  <c r="AC38" i="4"/>
  <c r="Y43" i="4"/>
  <c r="N43" i="4"/>
  <c r="Y29" i="4"/>
  <c r="N29" i="4"/>
  <c r="Y47" i="4"/>
  <c r="N47" i="4"/>
  <c r="N33" i="4"/>
  <c r="Y33" i="4"/>
  <c r="N71" i="4"/>
  <c r="Y71" i="4"/>
  <c r="N57" i="4"/>
  <c r="Y57" i="4"/>
  <c r="Y66" i="4"/>
  <c r="N66" i="4"/>
  <c r="O67" i="4"/>
  <c r="Z67" i="4"/>
  <c r="Z69" i="4"/>
  <c r="O69" i="4"/>
  <c r="Z75" i="4"/>
  <c r="O75" i="4"/>
  <c r="O27" i="4"/>
  <c r="Z27" i="4"/>
  <c r="Z28" i="4"/>
  <c r="O28" i="4"/>
  <c r="O65" i="4"/>
  <c r="Z65" i="4"/>
  <c r="AA27" i="4"/>
  <c r="P27" i="4"/>
  <c r="AA49" i="4"/>
  <c r="P49" i="4"/>
  <c r="AA63" i="4"/>
  <c r="P63" i="4"/>
  <c r="AA29" i="4"/>
  <c r="P29" i="4"/>
  <c r="P47" i="4"/>
  <c r="AA47" i="4"/>
  <c r="P43" i="4"/>
  <c r="AA43" i="4"/>
  <c r="AB49" i="4"/>
  <c r="Q49" i="4"/>
  <c r="Q61" i="4"/>
  <c r="AB61" i="4"/>
  <c r="AB56" i="4"/>
  <c r="Q56" i="4"/>
  <c r="AB71" i="4"/>
  <c r="Q71" i="4"/>
  <c r="S49" i="4"/>
  <c r="AD49" i="4"/>
  <c r="AE37" i="4"/>
  <c r="T37" i="4"/>
  <c r="U30" i="4"/>
  <c r="V28" i="4"/>
  <c r="AH28" i="4"/>
  <c r="R54" i="4"/>
  <c r="AC54" i="4"/>
  <c r="R60" i="4"/>
  <c r="AC60" i="4"/>
  <c r="N65" i="4"/>
  <c r="Y65" i="4"/>
  <c r="O63" i="4"/>
  <c r="Z63" i="4"/>
  <c r="AA41" i="4"/>
  <c r="P41" i="4"/>
  <c r="AB43" i="4"/>
  <c r="Q43" i="4"/>
  <c r="AD60" i="4"/>
  <c r="S60" i="4"/>
  <c r="R69" i="4"/>
  <c r="AC69" i="4"/>
  <c r="R67" i="4"/>
  <c r="AC67" i="4"/>
  <c r="R68" i="4"/>
  <c r="AC68" i="4"/>
  <c r="AC65" i="4"/>
  <c r="R65" i="4"/>
  <c r="R53" i="4"/>
  <c r="AC53" i="4"/>
  <c r="R26" i="4"/>
  <c r="AC26" i="4"/>
  <c r="Y64" i="4"/>
  <c r="N64" i="4"/>
  <c r="N72" i="4"/>
  <c r="Y72" i="4"/>
  <c r="N59" i="4"/>
  <c r="Y59" i="4"/>
  <c r="N50" i="4"/>
  <c r="Y50" i="4"/>
  <c r="N61" i="4"/>
  <c r="Y61" i="4"/>
  <c r="O57" i="4"/>
  <c r="Z57" i="4"/>
  <c r="O32" i="4"/>
  <c r="Z32" i="4"/>
  <c r="Z59" i="4"/>
  <c r="O59" i="4"/>
  <c r="Z66" i="4"/>
  <c r="O66" i="4"/>
  <c r="O68" i="4"/>
  <c r="Z68" i="4"/>
  <c r="O30" i="4"/>
  <c r="Z30" i="4"/>
  <c r="AA58" i="4"/>
  <c r="P58" i="4"/>
  <c r="AA65" i="4"/>
  <c r="P65" i="4"/>
  <c r="AA67" i="4"/>
  <c r="P67" i="4"/>
  <c r="P36" i="4"/>
  <c r="AA36" i="4"/>
  <c r="P72" i="4"/>
  <c r="AA72" i="4"/>
  <c r="P59" i="4"/>
  <c r="AA59" i="4"/>
  <c r="AA69" i="4"/>
  <c r="P69" i="4"/>
  <c r="AB39" i="4"/>
  <c r="Q39" i="4"/>
  <c r="Q68" i="4"/>
  <c r="AB68" i="4"/>
  <c r="AB41" i="4"/>
  <c r="Q41" i="4"/>
  <c r="AB52" i="4"/>
  <c r="Q52" i="4"/>
  <c r="AD28" i="4"/>
  <c r="S28" i="4"/>
  <c r="AD48" i="4"/>
  <c r="S48" i="4"/>
  <c r="T56" i="4"/>
  <c r="AE56" i="4"/>
  <c r="U34" i="4"/>
  <c r="U50" i="4"/>
  <c r="AC36" i="4"/>
  <c r="R36" i="4"/>
  <c r="R57" i="4"/>
  <c r="AC57" i="4"/>
  <c r="Y36" i="4"/>
  <c r="N36" i="4"/>
  <c r="Z52" i="4"/>
  <c r="O52" i="4"/>
  <c r="AA66" i="4"/>
  <c r="P66" i="4"/>
  <c r="AC66" i="4"/>
  <c r="R66" i="4"/>
  <c r="R62" i="4"/>
  <c r="AC62" i="4"/>
  <c r="R55" i="4"/>
  <c r="AC55" i="4"/>
  <c r="R33" i="4"/>
  <c r="AC33" i="4"/>
  <c r="AC73" i="4"/>
  <c r="R73" i="4"/>
  <c r="Y32" i="4"/>
  <c r="N32" i="4"/>
  <c r="Y42" i="4"/>
  <c r="N42" i="4"/>
  <c r="N41" i="4"/>
  <c r="Y41" i="4"/>
  <c r="Y69" i="4"/>
  <c r="N69" i="4"/>
  <c r="N60" i="4"/>
  <c r="Y60" i="4"/>
  <c r="N45" i="4"/>
  <c r="Y45" i="4"/>
  <c r="Y28" i="4"/>
  <c r="N28" i="4"/>
  <c r="Z38" i="4"/>
  <c r="O38" i="4"/>
  <c r="Z51" i="4"/>
  <c r="O51" i="4"/>
  <c r="Z39" i="4"/>
  <c r="O39" i="4"/>
  <c r="Z40" i="4"/>
  <c r="O40" i="4"/>
  <c r="O56" i="4"/>
  <c r="Z56" i="4"/>
  <c r="Z44" i="4"/>
  <c r="O44" i="4"/>
  <c r="Z53" i="4"/>
  <c r="O53" i="4"/>
  <c r="P31" i="4"/>
  <c r="AA31" i="4"/>
  <c r="P55" i="4"/>
  <c r="AA55" i="4"/>
  <c r="P39" i="4"/>
  <c r="AA39" i="4"/>
  <c r="AA33" i="4"/>
  <c r="P33" i="4"/>
  <c r="P62" i="4"/>
  <c r="AA62" i="4"/>
  <c r="P52" i="4"/>
  <c r="AA52" i="4"/>
  <c r="AA50" i="4"/>
  <c r="P50" i="4"/>
  <c r="AB66" i="4"/>
  <c r="Q66" i="4"/>
  <c r="AB62" i="4"/>
  <c r="Q62" i="4"/>
  <c r="Q46" i="4"/>
  <c r="AB46" i="4"/>
  <c r="S44" i="4"/>
  <c r="AD44" i="4"/>
  <c r="S39" i="4"/>
  <c r="AD39" i="4"/>
  <c r="T49" i="4"/>
  <c r="AE49" i="4"/>
  <c r="U44" i="4"/>
  <c r="U27" i="4"/>
  <c r="R34" i="4"/>
  <c r="AC34" i="4"/>
  <c r="AC42" i="4"/>
  <c r="R42" i="4"/>
  <c r="R47" i="4"/>
  <c r="AC47" i="4"/>
  <c r="O36" i="4"/>
  <c r="Z36" i="4"/>
  <c r="P56" i="4"/>
  <c r="AA56" i="4"/>
  <c r="S63" i="4"/>
  <c r="AD63" i="4"/>
  <c r="AC35" i="4"/>
  <c r="R35" i="4"/>
  <c r="AC63" i="4"/>
  <c r="R63" i="4"/>
  <c r="AC32" i="4"/>
  <c r="R32" i="4"/>
  <c r="N67" i="4"/>
  <c r="Y67" i="4"/>
  <c r="N63" i="4"/>
  <c r="Y63" i="4"/>
  <c r="Y38" i="4"/>
  <c r="N38" i="4"/>
  <c r="Y53" i="4"/>
  <c r="N53" i="4"/>
  <c r="N30" i="4"/>
  <c r="Y30" i="4"/>
  <c r="Y48" i="4"/>
  <c r="N48" i="4"/>
  <c r="Z70" i="4"/>
  <c r="O70" i="4"/>
  <c r="Z41" i="4"/>
  <c r="O41" i="4"/>
  <c r="O62" i="4"/>
  <c r="Z62" i="4"/>
  <c r="O46" i="4"/>
  <c r="Z46" i="4"/>
  <c r="O71" i="4"/>
  <c r="Z71" i="4"/>
  <c r="O42" i="4"/>
  <c r="Z42" i="4"/>
  <c r="P73" i="4"/>
  <c r="AA73" i="4"/>
  <c r="AA37" i="4"/>
  <c r="P37" i="4"/>
  <c r="P35" i="4"/>
  <c r="AA35" i="4"/>
  <c r="AA74" i="4"/>
  <c r="P74" i="4"/>
  <c r="P44" i="4"/>
  <c r="AA44" i="4"/>
  <c r="P40" i="4"/>
  <c r="AA40" i="4"/>
  <c r="P70" i="4"/>
  <c r="AA70" i="4"/>
  <c r="AB75" i="4"/>
  <c r="Q75" i="4"/>
  <c r="Q51" i="4"/>
  <c r="AB51" i="4"/>
  <c r="AB53" i="4"/>
  <c r="Q53" i="4"/>
  <c r="T38" i="4"/>
  <c r="AE38" i="4"/>
  <c r="AE60" i="4"/>
  <c r="T60" i="4"/>
  <c r="U59" i="4"/>
  <c r="V42" i="4"/>
  <c r="AH42" i="4"/>
  <c r="AC51" i="4"/>
  <c r="R51" i="4"/>
  <c r="Y31" i="4"/>
  <c r="N31" i="4"/>
  <c r="Z33" i="4"/>
  <c r="O33" i="4"/>
  <c r="P61" i="4"/>
  <c r="AA61" i="4"/>
  <c r="AB60" i="4"/>
  <c r="Q60" i="4"/>
  <c r="T35" i="4"/>
  <c r="AE35" i="4"/>
  <c r="R40" i="4"/>
  <c r="AC40" i="4"/>
  <c r="R45" i="4"/>
  <c r="AC45" i="4"/>
  <c r="R75" i="4"/>
  <c r="AC75" i="4"/>
  <c r="AC64" i="4"/>
  <c r="R64" i="4"/>
  <c r="Y56" i="4"/>
  <c r="N56" i="4"/>
  <c r="AC58" i="4"/>
  <c r="R58" i="4"/>
  <c r="R52" i="4"/>
  <c r="AC52" i="4"/>
  <c r="AC74" i="4"/>
  <c r="R74" i="4"/>
  <c r="R59" i="4"/>
  <c r="AC59" i="4"/>
  <c r="R49" i="4"/>
  <c r="AC49" i="4"/>
  <c r="AC41" i="4"/>
  <c r="R41" i="4"/>
  <c r="AC70" i="4"/>
  <c r="R70" i="4"/>
  <c r="Y34" i="4"/>
  <c r="N34" i="4"/>
  <c r="N55" i="4"/>
  <c r="Y55" i="4"/>
  <c r="Y40" i="4"/>
  <c r="N40" i="4"/>
  <c r="N27" i="4"/>
  <c r="Y27" i="4"/>
  <c r="Y44" i="4"/>
  <c r="N44" i="4"/>
  <c r="Y49" i="4"/>
  <c r="N49" i="4"/>
  <c r="O48" i="4"/>
  <c r="Z48" i="4"/>
  <c r="O72" i="4"/>
  <c r="Z72" i="4"/>
  <c r="Z29" i="4"/>
  <c r="O29" i="4"/>
  <c r="O26" i="4"/>
  <c r="Z26" i="4"/>
  <c r="Z60" i="4"/>
  <c r="O60" i="4"/>
  <c r="Z64" i="4"/>
  <c r="O64" i="4"/>
  <c r="O73" i="4"/>
  <c r="Z73" i="4"/>
  <c r="P32" i="4"/>
  <c r="AA32" i="4"/>
  <c r="P48" i="4"/>
  <c r="AA48" i="4"/>
  <c r="AA46" i="4"/>
  <c r="P46" i="4"/>
  <c r="AA30" i="4"/>
  <c r="P30" i="4"/>
  <c r="Q58" i="4"/>
  <c r="AB58" i="4"/>
  <c r="AB26" i="4"/>
  <c r="Q26" i="4"/>
  <c r="Q30" i="4"/>
  <c r="AB30" i="4"/>
  <c r="AB32" i="4"/>
  <c r="Q32" i="4"/>
  <c r="AD73" i="4"/>
  <c r="S73" i="4"/>
  <c r="AE64" i="4"/>
  <c r="T64" i="4"/>
  <c r="T66" i="4"/>
  <c r="AE66" i="4"/>
  <c r="U55" i="4"/>
  <c r="V53" i="4"/>
  <c r="AH53" i="4"/>
  <c r="U68" i="4"/>
  <c r="U43" i="4"/>
  <c r="U40" i="4"/>
  <c r="U67" i="4"/>
  <c r="V54" i="4"/>
  <c r="AH54" i="4"/>
  <c r="V34" i="4"/>
  <c r="AH34" i="4"/>
  <c r="V38" i="4"/>
  <c r="AH38" i="4"/>
  <c r="V74" i="4"/>
  <c r="AH74" i="4"/>
  <c r="AH39" i="4"/>
  <c r="V39" i="4"/>
  <c r="V60" i="4"/>
  <c r="AH60" i="4"/>
  <c r="V47" i="4"/>
  <c r="AH47" i="4"/>
  <c r="AB54" i="4"/>
  <c r="Q54" i="4"/>
  <c r="AB33" i="4"/>
  <c r="Q33" i="4"/>
  <c r="Q42" i="4"/>
  <c r="AB42" i="4"/>
  <c r="AB28" i="4"/>
  <c r="Q28" i="4"/>
  <c r="Q63" i="4"/>
  <c r="AB63" i="4"/>
  <c r="Q35" i="4"/>
  <c r="AB35" i="4"/>
  <c r="Q31" i="4"/>
  <c r="AB31" i="4"/>
  <c r="AD69" i="4"/>
  <c r="S69" i="4"/>
  <c r="AD41" i="4"/>
  <c r="S41" i="4"/>
  <c r="S57" i="4"/>
  <c r="AD57" i="4"/>
  <c r="AD42" i="4"/>
  <c r="S42" i="4"/>
  <c r="S47" i="4"/>
  <c r="AD47" i="4"/>
  <c r="S72" i="4"/>
  <c r="AD72" i="4"/>
  <c r="T28" i="4"/>
  <c r="AE28" i="4"/>
  <c r="AE67" i="4"/>
  <c r="T67" i="4"/>
  <c r="AE30" i="4"/>
  <c r="T30" i="4"/>
  <c r="T27" i="4"/>
  <c r="AE27" i="4"/>
  <c r="AE31" i="4"/>
  <c r="T31" i="4"/>
  <c r="T47" i="4"/>
  <c r="AE47" i="4"/>
  <c r="AE26" i="4"/>
  <c r="T26" i="4"/>
  <c r="U61" i="4"/>
  <c r="U33" i="4"/>
  <c r="U66" i="4"/>
  <c r="U74" i="4"/>
  <c r="U36" i="4"/>
  <c r="U64" i="4"/>
  <c r="U60" i="4"/>
  <c r="AH61" i="4"/>
  <c r="V61" i="4"/>
  <c r="V52" i="4"/>
  <c r="AH52" i="4"/>
  <c r="V59" i="4"/>
  <c r="AH59" i="4"/>
  <c r="V58" i="4"/>
  <c r="AH58" i="4"/>
  <c r="AH57" i="4"/>
  <c r="V57" i="4"/>
  <c r="AH43" i="4"/>
  <c r="V43" i="4"/>
  <c r="AB64" i="4"/>
  <c r="Q64" i="4"/>
  <c r="AB48" i="4"/>
  <c r="Q48" i="4"/>
  <c r="AD68" i="4"/>
  <c r="S68" i="4"/>
  <c r="AD59" i="4"/>
  <c r="S59" i="4"/>
  <c r="S37" i="4"/>
  <c r="AD37" i="4"/>
  <c r="AD74" i="4"/>
  <c r="S74" i="4"/>
  <c r="S65" i="4"/>
  <c r="AD65" i="4"/>
  <c r="AD55" i="4"/>
  <c r="S55" i="4"/>
  <c r="AD35" i="4"/>
  <c r="S35" i="4"/>
  <c r="AE39" i="4"/>
  <c r="T39" i="4"/>
  <c r="T45" i="4"/>
  <c r="AE45" i="4"/>
  <c r="AE68" i="4"/>
  <c r="T68" i="4"/>
  <c r="AE50" i="4"/>
  <c r="T50" i="4"/>
  <c r="AE57" i="4"/>
  <c r="T57" i="4"/>
  <c r="AE33" i="4"/>
  <c r="T33" i="4"/>
  <c r="U73" i="4"/>
  <c r="U72" i="4"/>
  <c r="U35" i="4"/>
  <c r="U28" i="4"/>
  <c r="U54" i="4"/>
  <c r="U63" i="4"/>
  <c r="AH68" i="4"/>
  <c r="V68" i="4"/>
  <c r="AH27" i="4"/>
  <c r="V27" i="4"/>
  <c r="V41" i="4"/>
  <c r="AH41" i="4"/>
  <c r="AH46" i="4"/>
  <c r="V46" i="4"/>
  <c r="AH30" i="4"/>
  <c r="V30" i="4"/>
  <c r="Q65" i="4"/>
  <c r="AB65" i="4"/>
  <c r="AD71" i="4"/>
  <c r="S71" i="4"/>
  <c r="AD40" i="4"/>
  <c r="S40" i="4"/>
  <c r="AD27" i="4"/>
  <c r="S27" i="4"/>
  <c r="AD54" i="4"/>
  <c r="S54" i="4"/>
  <c r="AD46" i="4"/>
  <c r="S46" i="4"/>
  <c r="AD31" i="4"/>
  <c r="S31" i="4"/>
  <c r="AD34" i="4"/>
  <c r="S34" i="4"/>
  <c r="T69" i="4"/>
  <c r="AE69" i="4"/>
  <c r="AE41" i="4"/>
  <c r="T41" i="4"/>
  <c r="AE42" i="4"/>
  <c r="T42" i="4"/>
  <c r="AE63" i="4"/>
  <c r="T63" i="4"/>
  <c r="U48" i="4"/>
  <c r="U37" i="4"/>
  <c r="U62" i="4"/>
  <c r="U45" i="4"/>
  <c r="U57" i="4"/>
  <c r="U65" i="4"/>
  <c r="AH49" i="4"/>
  <c r="V49" i="4"/>
  <c r="AH36" i="4"/>
  <c r="V36" i="4"/>
  <c r="V70" i="4"/>
  <c r="AH70" i="4"/>
  <c r="V31" i="4"/>
  <c r="AH31" i="4"/>
  <c r="V72" i="4"/>
  <c r="AH72" i="4"/>
  <c r="AH37" i="4"/>
  <c r="V37" i="4"/>
  <c r="P75" i="4"/>
  <c r="AA75" i="4"/>
  <c r="AB29" i="4"/>
  <c r="Q29" i="4"/>
  <c r="AB36" i="4"/>
  <c r="Q36" i="4"/>
  <c r="Q34" i="4"/>
  <c r="AB34" i="4"/>
  <c r="AB59" i="4"/>
  <c r="Q59" i="4"/>
  <c r="AD62" i="4"/>
  <c r="S62" i="4"/>
  <c r="S53" i="4"/>
  <c r="AD53" i="4"/>
  <c r="AD45" i="4"/>
  <c r="S45" i="4"/>
  <c r="AD61" i="4"/>
  <c r="S61" i="4"/>
  <c r="AD29" i="4"/>
  <c r="S29" i="4"/>
  <c r="AD36" i="4"/>
  <c r="S36" i="4"/>
  <c r="T55" i="4"/>
  <c r="AE55" i="4"/>
  <c r="AE71" i="4"/>
  <c r="T71" i="4"/>
  <c r="AE72" i="4"/>
  <c r="T72" i="4"/>
  <c r="AE58" i="4"/>
  <c r="T58" i="4"/>
  <c r="AE51" i="4"/>
  <c r="T51" i="4"/>
  <c r="AE32" i="4"/>
  <c r="T32" i="4"/>
  <c r="T36" i="4"/>
  <c r="AE36" i="4"/>
  <c r="U75" i="4"/>
  <c r="U69" i="4"/>
  <c r="U42" i="4"/>
  <c r="U41" i="4"/>
  <c r="U51" i="4"/>
  <c r="U26" i="4"/>
  <c r="AH56" i="4"/>
  <c r="V56" i="4"/>
  <c r="AH32" i="4"/>
  <c r="V32" i="4"/>
  <c r="AH29" i="4"/>
  <c r="V29" i="4"/>
  <c r="AH67" i="4"/>
  <c r="V67" i="4"/>
  <c r="V73" i="4"/>
  <c r="AH73" i="4"/>
  <c r="V69" i="4"/>
  <c r="AH69" i="4"/>
  <c r="V33" i="4"/>
  <c r="AH33" i="4"/>
  <c r="AB40" i="4"/>
  <c r="Q40" i="4"/>
  <c r="S52" i="4"/>
  <c r="AD52" i="4"/>
  <c r="AD30" i="4"/>
  <c r="S30" i="4"/>
  <c r="S67" i="4"/>
  <c r="AD67" i="4"/>
  <c r="AD58" i="4"/>
  <c r="S58" i="4"/>
  <c r="S70" i="4"/>
  <c r="AD70" i="4"/>
  <c r="AD50" i="4"/>
  <c r="S50" i="4"/>
  <c r="AD56" i="4"/>
  <c r="S56" i="4"/>
  <c r="AE40" i="4"/>
  <c r="T40" i="4"/>
  <c r="T29" i="4"/>
  <c r="AE29" i="4"/>
  <c r="AE62" i="4"/>
  <c r="T62" i="4"/>
  <c r="T44" i="4"/>
  <c r="AE44" i="4"/>
  <c r="T53" i="4"/>
  <c r="AE53" i="4"/>
  <c r="T74" i="4"/>
  <c r="AE74" i="4"/>
  <c r="T75" i="4"/>
  <c r="AE75" i="4"/>
  <c r="U29" i="4"/>
  <c r="U56" i="4"/>
  <c r="U32" i="4"/>
  <c r="U39" i="4"/>
  <c r="U53" i="4"/>
  <c r="U46" i="4"/>
  <c r="AH66" i="4"/>
  <c r="V66" i="4"/>
  <c r="AH75" i="4"/>
  <c r="V75" i="4"/>
  <c r="V26" i="4"/>
  <c r="AH26" i="4"/>
  <c r="V40" i="4"/>
  <c r="AH40" i="4"/>
  <c r="V35" i="4"/>
  <c r="AH35" i="4"/>
  <c r="V71" i="4"/>
  <c r="AH71" i="4"/>
  <c r="AH48" i="4"/>
  <c r="V48" i="4"/>
  <c r="AA71" i="4"/>
  <c r="P71" i="4"/>
  <c r="Q44" i="4"/>
  <c r="AB44" i="4"/>
  <c r="AB73" i="4"/>
  <c r="Q73" i="4"/>
  <c r="Q27" i="4"/>
  <c r="AB27" i="4"/>
  <c r="AB72" i="4"/>
  <c r="Q72" i="4"/>
  <c r="AB74" i="4"/>
  <c r="Q74" i="4"/>
  <c r="AB50" i="4"/>
  <c r="Q50" i="4"/>
  <c r="S38" i="4"/>
  <c r="AD38" i="4"/>
  <c r="AD33" i="4"/>
  <c r="S33" i="4"/>
  <c r="S32" i="4"/>
  <c r="AD32" i="4"/>
  <c r="AD26" i="4"/>
  <c r="S26" i="4"/>
  <c r="S51" i="4"/>
  <c r="AD51" i="4"/>
  <c r="S75" i="4"/>
  <c r="AD75" i="4"/>
  <c r="T48" i="4"/>
  <c r="AE48" i="4"/>
  <c r="AE61" i="4"/>
  <c r="T61" i="4"/>
  <c r="T65" i="4"/>
  <c r="AE65" i="4"/>
  <c r="AE34" i="4"/>
  <c r="T34" i="4"/>
  <c r="AE46" i="4"/>
  <c r="T46" i="4"/>
  <c r="T54" i="4"/>
  <c r="AE54" i="4"/>
  <c r="AE73" i="4"/>
  <c r="T73" i="4"/>
  <c r="U47" i="4"/>
  <c r="U71" i="4"/>
  <c r="U70" i="4"/>
  <c r="U31" i="4"/>
  <c r="U49" i="4"/>
  <c r="U52" i="4"/>
  <c r="AH45" i="4"/>
  <c r="V45" i="4"/>
  <c r="V63" i="4"/>
  <c r="AH63" i="4"/>
  <c r="V44" i="4"/>
  <c r="AH44" i="4"/>
  <c r="V62" i="4"/>
  <c r="AH62" i="4"/>
  <c r="V64" i="4"/>
  <c r="AH64" i="4"/>
  <c r="V51" i="4"/>
  <c r="AH51" i="4"/>
  <c r="AH50" i="4"/>
  <c r="V50" i="4"/>
  <c r="AL9" i="4" l="1"/>
  <c r="AM9" i="4" s="1"/>
  <c r="AL8" i="4"/>
  <c r="AM8" i="4" s="1"/>
  <c r="AL7" i="4"/>
  <c r="AM7" i="4" s="1"/>
  <c r="AM1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Gaw</author>
  </authors>
  <commentList>
    <comment ref="F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Gaw:</t>
        </r>
        <r>
          <rPr>
            <sz val="8"/>
            <color indexed="81"/>
            <rFont val="Tahoma"/>
            <family val="2"/>
          </rPr>
          <t xml:space="preserve">
We use 0 and 1 with opposite meanings in Events and room sections to make the maths easier for room compatibility: multiply event requirement by room feature availablity and a result of zero means OK. If a feature is needed but unavailable we get a result of 1. Formulae replaced with values for better performance.</t>
        </r>
      </text>
    </comment>
  </commentList>
</comments>
</file>

<file path=xl/sharedStrings.xml><?xml version="1.0" encoding="utf-8"?>
<sst xmlns="http://schemas.openxmlformats.org/spreadsheetml/2006/main" count="2087" uniqueCount="52">
  <si>
    <t>Room</t>
  </si>
  <si>
    <t>Features</t>
  </si>
  <si>
    <t>Events</t>
  </si>
  <si>
    <t>Rooms</t>
  </si>
  <si>
    <t>Event</t>
  </si>
  <si>
    <t>Student</t>
  </si>
  <si>
    <t>3-Straight</t>
  </si>
  <si>
    <t>Room Size</t>
  </si>
  <si>
    <t>Room Features</t>
  </si>
  <si>
    <t>Late</t>
  </si>
  <si>
    <t>Timetable Clash</t>
  </si>
  <si>
    <t>Feature</t>
  </si>
  <si>
    <t>Wt</t>
  </si>
  <si>
    <t>total</t>
  </si>
  <si>
    <t>const</t>
  </si>
  <si>
    <t>Total</t>
  </si>
  <si>
    <t>Event Attendance</t>
  </si>
  <si>
    <t>Scheduled?</t>
  </si>
  <si>
    <t>Size</t>
  </si>
  <si>
    <t/>
  </si>
  <si>
    <t>(1 = feature required, 0 = not required)</t>
  </si>
  <si>
    <t>( == 0 room is suitable, &gt; 0 means room not suitable)</t>
  </si>
  <si>
    <t>(0= feature available, 1= not available)</t>
  </si>
  <si>
    <t># Students</t>
  </si>
  <si>
    <t># Rooms</t>
  </si>
  <si>
    <t># Featues</t>
  </si>
  <si>
    <t># Hours</t>
  </si>
  <si>
    <t># Events</t>
  </si>
  <si>
    <t>RSV</t>
  </si>
  <si>
    <t>RFV</t>
  </si>
  <si>
    <t>3SV</t>
  </si>
  <si>
    <t>LEV</t>
  </si>
  <si>
    <t>UEV</t>
  </si>
  <si>
    <t>TCV</t>
  </si>
  <si>
    <t>WA</t>
  </si>
  <si>
    <t>F</t>
  </si>
  <si>
    <t>IT</t>
  </si>
  <si>
    <t>prev</t>
  </si>
  <si>
    <t>LLH</t>
  </si>
  <si>
    <t>Flimit</t>
  </si>
  <si>
    <t>old values</t>
  </si>
  <si>
    <t>count</t>
  </si>
  <si>
    <t>TT clashes</t>
  </si>
  <si>
    <t>Constraint violations</t>
  </si>
  <si>
    <t>Timetable status</t>
  </si>
  <si>
    <t>Low-level heuristics</t>
  </si>
  <si>
    <t>Hyper-heuristic examples</t>
  </si>
  <si>
    <t>Timeslot</t>
  </si>
  <si>
    <t>Individual student timetables and clashes</t>
  </si>
  <si>
    <t>Timetable of events and constraint violations</t>
  </si>
  <si>
    <t>For diversification</t>
  </si>
  <si>
    <t>C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</si>
</sst>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color rgb="FFFF000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FF66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10"/>
      </bottom>
      <diagonal/>
    </border>
    <border>
      <left/>
      <right/>
      <top/>
      <bottom style="thin">
        <color indexed="57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9" xfId="0" applyFont="1" applyBorder="1"/>
    <xf numFmtId="0" fontId="1" fillId="0" borderId="1" xfId="0" applyFont="1" applyBorder="1"/>
    <xf numFmtId="0" fontId="0" fillId="0" borderId="10" xfId="0" applyBorder="1"/>
    <xf numFmtId="0" fontId="0" fillId="0" borderId="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0" xfId="0" applyFont="1" applyAlignment="1">
      <alignment horizontal="center"/>
    </xf>
    <xf numFmtId="0" fontId="1" fillId="0" borderId="19" xfId="0" applyFont="1" applyBorder="1"/>
    <xf numFmtId="0" fontId="0" fillId="0" borderId="2" xfId="0" applyFill="1" applyBorder="1"/>
    <xf numFmtId="0" fontId="0" fillId="0" borderId="20" xfId="0" applyBorder="1"/>
    <xf numFmtId="0" fontId="1" fillId="0" borderId="20" xfId="0" applyFont="1" applyBorder="1"/>
    <xf numFmtId="0" fontId="0" fillId="0" borderId="21" xfId="0" applyBorder="1"/>
    <xf numFmtId="0" fontId="0" fillId="0" borderId="22" xfId="0" applyBorder="1"/>
    <xf numFmtId="0" fontId="1" fillId="0" borderId="23" xfId="0" applyFont="1" applyBorder="1"/>
    <xf numFmtId="0" fontId="0" fillId="0" borderId="24" xfId="0" applyBorder="1"/>
    <xf numFmtId="0" fontId="0" fillId="0" borderId="25" xfId="0" applyBorder="1"/>
    <xf numFmtId="0" fontId="1" fillId="0" borderId="26" xfId="0" applyFont="1" applyBorder="1"/>
    <xf numFmtId="0" fontId="1" fillId="0" borderId="26" xfId="0" applyFont="1" applyFill="1" applyBorder="1"/>
    <xf numFmtId="0" fontId="1" fillId="0" borderId="27" xfId="0" applyFont="1" applyFill="1" applyBorder="1"/>
    <xf numFmtId="0" fontId="1" fillId="0" borderId="28" xfId="0" applyFont="1" applyBorder="1"/>
    <xf numFmtId="0" fontId="0" fillId="0" borderId="29" xfId="0" applyBorder="1"/>
    <xf numFmtId="0" fontId="0" fillId="0" borderId="23" xfId="0" applyBorder="1"/>
    <xf numFmtId="0" fontId="1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/>
    <xf numFmtId="0" fontId="0" fillId="0" borderId="22" xfId="0" applyFill="1" applyBorder="1"/>
    <xf numFmtId="0" fontId="0" fillId="0" borderId="30" xfId="0" applyBorder="1"/>
    <xf numFmtId="0" fontId="0" fillId="0" borderId="19" xfId="0" applyBorder="1"/>
    <xf numFmtId="0" fontId="2" fillId="0" borderId="0" xfId="0" applyFont="1"/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Fill="1" applyBorder="1"/>
    <xf numFmtId="0" fontId="2" fillId="0" borderId="0" xfId="0" applyFont="1" applyFill="1" applyBorder="1"/>
    <xf numFmtId="0" fontId="3" fillId="0" borderId="0" xfId="0" applyFont="1"/>
    <xf numFmtId="0" fontId="2" fillId="0" borderId="0" xfId="0" applyNumberFormat="1" applyFont="1"/>
    <xf numFmtId="0" fontId="4" fillId="0" borderId="0" xfId="0" applyFont="1" applyBorder="1" applyAlignment="1"/>
    <xf numFmtId="0" fontId="5" fillId="0" borderId="0" xfId="0" applyFont="1"/>
    <xf numFmtId="0" fontId="4" fillId="0" borderId="0" xfId="0" applyFont="1" applyFill="1"/>
    <xf numFmtId="0" fontId="4" fillId="0" borderId="31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0" xfId="0" applyFill="1" applyAlignment="1">
      <alignment horizontal="left"/>
    </xf>
    <xf numFmtId="0" fontId="4" fillId="0" borderId="0" xfId="0" applyFont="1"/>
    <xf numFmtId="0" fontId="0" fillId="0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/>
  </cellXfs>
  <cellStyles count="1">
    <cellStyle name="常规" xfId="0" builtinId="0"/>
  </cellStyles>
  <dxfs count="5"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ill>
        <patternFill>
          <bgColor indexed="57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142875</xdr:colOff>
      <xdr:row>0</xdr:row>
      <xdr:rowOff>9525</xdr:rowOff>
    </xdr:from>
    <xdr:to>
      <xdr:col>34</xdr:col>
      <xdr:colOff>142875</xdr:colOff>
      <xdr:row>71</xdr:row>
      <xdr:rowOff>19050</xdr:rowOff>
    </xdr:to>
    <xdr:sp macro="" textlink="">
      <xdr:nvSpPr>
        <xdr:cNvPr id="2075" name="Line 27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>
          <a:spLocks noChangeShapeType="1"/>
        </xdr:cNvSpPr>
      </xdr:nvSpPr>
      <xdr:spPr bwMode="auto">
        <a:xfrm flipH="1">
          <a:off x="7505700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9525</xdr:rowOff>
    </xdr:from>
    <xdr:to>
      <xdr:col>41</xdr:col>
      <xdr:colOff>0</xdr:colOff>
      <xdr:row>71</xdr:row>
      <xdr:rowOff>19050</xdr:rowOff>
    </xdr:to>
    <xdr:sp macro="" textlink="">
      <xdr:nvSpPr>
        <xdr:cNvPr id="2079" name="Line 3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>
          <a:spLocks noChangeShapeType="1"/>
        </xdr:cNvSpPr>
      </xdr:nvSpPr>
      <xdr:spPr bwMode="auto">
        <a:xfrm>
          <a:off x="9744075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123825</xdr:rowOff>
    </xdr:from>
    <xdr:to>
      <xdr:col>34</xdr:col>
      <xdr:colOff>123825</xdr:colOff>
      <xdr:row>18</xdr:row>
      <xdr:rowOff>123825</xdr:rowOff>
    </xdr:to>
    <xdr:sp macro="" textlink="">
      <xdr:nvSpPr>
        <xdr:cNvPr id="2080" name="Line 32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>
          <a:spLocks noChangeShapeType="1"/>
        </xdr:cNvSpPr>
      </xdr:nvSpPr>
      <xdr:spPr bwMode="auto">
        <a:xfrm>
          <a:off x="66675" y="3238500"/>
          <a:ext cx="74199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291993</xdr:colOff>
          <xdr:row>35</xdr:row>
          <xdr:rowOff>15368</xdr:rowOff>
        </xdr:from>
        <xdr:to>
          <xdr:col>39</xdr:col>
          <xdr:colOff>30736</xdr:colOff>
          <xdr:row>36</xdr:row>
          <xdr:rowOff>107576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17</xdr:row>
          <xdr:rowOff>15368</xdr:rowOff>
        </xdr:from>
        <xdr:to>
          <xdr:col>35</xdr:col>
          <xdr:colOff>376518</xdr:colOff>
          <xdr:row>18</xdr:row>
          <xdr:rowOff>15368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18</xdr:row>
          <xdr:rowOff>15368</xdr:rowOff>
        </xdr:from>
        <xdr:to>
          <xdr:col>35</xdr:col>
          <xdr:colOff>376518</xdr:colOff>
          <xdr:row>19</xdr:row>
          <xdr:rowOff>15368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19</xdr:row>
          <xdr:rowOff>23052</xdr:rowOff>
        </xdr:from>
        <xdr:to>
          <xdr:col>35</xdr:col>
          <xdr:colOff>376518</xdr:colOff>
          <xdr:row>20</xdr:row>
          <xdr:rowOff>23052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20</xdr:row>
          <xdr:rowOff>23052</xdr:rowOff>
        </xdr:from>
        <xdr:to>
          <xdr:col>35</xdr:col>
          <xdr:colOff>376518</xdr:colOff>
          <xdr:row>20</xdr:row>
          <xdr:rowOff>153681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21</xdr:row>
          <xdr:rowOff>7684</xdr:rowOff>
        </xdr:from>
        <xdr:to>
          <xdr:col>35</xdr:col>
          <xdr:colOff>376518</xdr:colOff>
          <xdr:row>22</xdr:row>
          <xdr:rowOff>7684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22</xdr:row>
          <xdr:rowOff>7684</xdr:rowOff>
        </xdr:from>
        <xdr:to>
          <xdr:col>35</xdr:col>
          <xdr:colOff>376518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23</xdr:row>
          <xdr:rowOff>7684</xdr:rowOff>
        </xdr:from>
        <xdr:to>
          <xdr:col>35</xdr:col>
          <xdr:colOff>376518</xdr:colOff>
          <xdr:row>24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30</xdr:row>
          <xdr:rowOff>0</xdr:rowOff>
        </xdr:from>
        <xdr:to>
          <xdr:col>36</xdr:col>
          <xdr:colOff>0</xdr:colOff>
          <xdr:row>31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31</xdr:row>
          <xdr:rowOff>0</xdr:rowOff>
        </xdr:from>
        <xdr:to>
          <xdr:col>36</xdr:col>
          <xdr:colOff>0</xdr:colOff>
          <xdr:row>32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seq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25</xdr:row>
          <xdr:rowOff>0</xdr:rowOff>
        </xdr:from>
        <xdr:to>
          <xdr:col>39</xdr:col>
          <xdr:colOff>0</xdr:colOff>
          <xdr:row>26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 random LLH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7684</xdr:colOff>
          <xdr:row>32</xdr:row>
          <xdr:rowOff>15368</xdr:rowOff>
        </xdr:from>
        <xdr:to>
          <xdr:col>35</xdr:col>
          <xdr:colOff>484094</xdr:colOff>
          <xdr:row>32</xdr:row>
          <xdr:rowOff>169049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P-HH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75"/>
  <sheetViews>
    <sheetView tabSelected="1" zoomScaleNormal="100" workbookViewId="0">
      <selection activeCell="AA14" sqref="AA14"/>
    </sheetView>
  </sheetViews>
  <sheetFormatPr defaultRowHeight="13.35" x14ac:dyDescent="0.25"/>
  <cols>
    <col min="1" max="1" width="1" customWidth="1"/>
    <col min="2" max="2" width="7.44140625" bestFit="1" customWidth="1"/>
    <col min="3" max="11" width="5.109375" customWidth="1"/>
    <col min="12" max="12" width="1.6640625" customWidth="1"/>
    <col min="13" max="13" width="3" bestFit="1" customWidth="1"/>
    <col min="14" max="34" width="2.44140625" customWidth="1"/>
    <col min="35" max="35" width="4.44140625" customWidth="1"/>
    <col min="36" max="36" width="7.109375" customWidth="1"/>
    <col min="37" max="37" width="5.5546875" customWidth="1"/>
    <col min="38" max="38" width="6" bestFit="1" customWidth="1"/>
    <col min="39" max="40" width="5" bestFit="1" customWidth="1"/>
    <col min="41" max="41" width="2.5546875" customWidth="1"/>
    <col min="42" max="44" width="3.6640625" customWidth="1"/>
  </cols>
  <sheetData>
    <row r="1" spans="2:40" ht="17.55" x14ac:dyDescent="0.3">
      <c r="B1" s="61" t="s">
        <v>49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</row>
    <row r="2" spans="2:40" ht="16.350000000000001" thickBot="1" x14ac:dyDescent="0.35">
      <c r="N2" s="23"/>
      <c r="O2" s="23"/>
      <c r="P2" s="23"/>
      <c r="Q2" s="23"/>
      <c r="R2" s="23"/>
      <c r="S2" s="23"/>
      <c r="T2" s="54" t="s">
        <v>43</v>
      </c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K2" s="54" t="s">
        <v>44</v>
      </c>
    </row>
    <row r="3" spans="2:40" ht="13.95" thickBot="1" x14ac:dyDescent="0.3">
      <c r="B3" s="57" t="s">
        <v>47</v>
      </c>
      <c r="C3" s="36">
        <v>1</v>
      </c>
      <c r="D3" s="33">
        <v>2</v>
      </c>
      <c r="E3" s="33">
        <v>3</v>
      </c>
      <c r="F3" s="33">
        <v>4</v>
      </c>
      <c r="G3" s="33">
        <v>5</v>
      </c>
      <c r="H3" s="34">
        <v>6</v>
      </c>
      <c r="I3" s="34">
        <v>7</v>
      </c>
      <c r="J3" s="34">
        <v>8</v>
      </c>
      <c r="K3" s="35">
        <v>9</v>
      </c>
      <c r="L3" s="4"/>
    </row>
    <row r="4" spans="2:40" ht="13.95" thickBot="1" x14ac:dyDescent="0.3">
      <c r="B4" s="56" t="s">
        <v>0</v>
      </c>
      <c r="C4" s="68" t="s">
        <v>2</v>
      </c>
      <c r="D4" s="69"/>
      <c r="E4" s="69"/>
      <c r="F4" s="69"/>
      <c r="G4" s="69"/>
      <c r="H4" s="69"/>
      <c r="I4" s="69"/>
      <c r="J4" s="69"/>
      <c r="K4" s="70"/>
      <c r="L4" s="4"/>
      <c r="N4" s="64" t="s">
        <v>7</v>
      </c>
      <c r="O4" s="65"/>
      <c r="P4" s="65"/>
      <c r="Q4" s="65"/>
      <c r="R4" s="65"/>
      <c r="S4" s="65"/>
      <c r="T4" s="65"/>
      <c r="U4" s="65"/>
      <c r="V4" s="65"/>
      <c r="X4" s="64" t="s">
        <v>8</v>
      </c>
      <c r="Y4" s="65"/>
      <c r="Z4" s="64"/>
      <c r="AA4" s="64"/>
      <c r="AB4" s="64"/>
      <c r="AC4" s="64"/>
      <c r="AD4" s="64"/>
      <c r="AE4" s="64"/>
      <c r="AF4" s="64"/>
      <c r="AG4" s="1"/>
      <c r="AJ4" s="1" t="s">
        <v>14</v>
      </c>
      <c r="AK4" s="1" t="s">
        <v>12</v>
      </c>
      <c r="AL4" s="1" t="s">
        <v>41</v>
      </c>
      <c r="AM4" s="1" t="s">
        <v>13</v>
      </c>
      <c r="AN4" s="1" t="s">
        <v>37</v>
      </c>
    </row>
    <row r="5" spans="2:40" x14ac:dyDescent="0.25">
      <c r="B5" s="27">
        <v>1</v>
      </c>
      <c r="C5" s="37">
        <v>37</v>
      </c>
      <c r="D5" s="3">
        <v>28</v>
      </c>
      <c r="E5" s="3">
        <v>22</v>
      </c>
      <c r="F5" s="3">
        <v>39</v>
      </c>
      <c r="G5" s="3">
        <v>16</v>
      </c>
      <c r="H5" s="25">
        <v>14</v>
      </c>
      <c r="I5" s="3">
        <v>15</v>
      </c>
      <c r="J5" s="3">
        <v>9</v>
      </c>
      <c r="K5" s="28">
        <v>7</v>
      </c>
      <c r="L5" s="4"/>
      <c r="M5" s="1">
        <v>1</v>
      </c>
      <c r="N5" s="9">
        <f t="shared" ref="N5:T10" si="0">IF(C5&lt;=0,0,IF(HLOOKUP(C5,eventMeta,2,FALSE)&gt;HLOOKUP($B5,rooms,5,FALSE),1,0))</f>
        <v>0</v>
      </c>
      <c r="O5" s="9">
        <f t="shared" si="0"/>
        <v>0</v>
      </c>
      <c r="P5" s="9">
        <f t="shared" si="0"/>
        <v>0</v>
      </c>
      <c r="Q5" s="9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ref="U5:U10" si="1">IF(J5&lt;=0,0,IF(HLOOKUP(J5,eventMeta,2,FALSE)&gt;HLOOKUP($B5,rooms,5,FALSE),1,0))</f>
        <v>0</v>
      </c>
      <c r="V5" s="15">
        <f t="shared" ref="V5:V10" si="2">IF(K5&lt;=0,0,IF(HLOOKUP(K5,eventMeta,2,FALSE)&gt;HLOOKUP($B5,rooms,5,FALSE),1,0))</f>
        <v>0</v>
      </c>
      <c r="X5" s="9">
        <f t="shared" ref="X5:AD10" si="3">IF(C5&lt;=0,0,HLOOKUP(C5,roomEvent,$B5+1,FALSE))</f>
        <v>0</v>
      </c>
      <c r="Y5" s="9">
        <f t="shared" si="3"/>
        <v>0</v>
      </c>
      <c r="Z5" s="9">
        <f t="shared" si="3"/>
        <v>0</v>
      </c>
      <c r="AA5" s="9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ref="AE5:AE10" si="4">IF(J5&lt;=0,0,HLOOKUP(J5,roomEvent,$B5+1,FALSE))</f>
        <v>0</v>
      </c>
      <c r="AF5" s="15">
        <f t="shared" ref="AF5:AF10" si="5">IF(K5&lt;=0,0,HLOOKUP(K5,roomEvent,$B5+1,FALSE))</f>
        <v>0</v>
      </c>
      <c r="AG5" s="4"/>
      <c r="AJ5" s="1" t="s">
        <v>28</v>
      </c>
      <c r="AK5" s="1">
        <v>100</v>
      </c>
      <c r="AL5" s="1">
        <f>SUM(N5:V10)</f>
        <v>0</v>
      </c>
      <c r="AM5" s="1">
        <f t="shared" ref="AM5:AM10" si="6">AK5*AL5</f>
        <v>0</v>
      </c>
      <c r="AN5">
        <v>0</v>
      </c>
    </row>
    <row r="6" spans="2:40" x14ac:dyDescent="0.25">
      <c r="B6" s="27">
        <v>2</v>
      </c>
      <c r="C6" s="26">
        <v>10</v>
      </c>
      <c r="D6" s="4">
        <v>35</v>
      </c>
      <c r="E6" s="14"/>
      <c r="F6" s="14">
        <v>13</v>
      </c>
      <c r="G6" s="14">
        <v>1</v>
      </c>
      <c r="H6" s="14"/>
      <c r="I6" s="4">
        <v>26</v>
      </c>
      <c r="J6" s="4">
        <v>17</v>
      </c>
      <c r="K6" s="43">
        <v>2</v>
      </c>
      <c r="L6" s="4"/>
      <c r="M6" s="1">
        <v>2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15">
        <f t="shared" si="0"/>
        <v>0</v>
      </c>
      <c r="S6" s="15">
        <f t="shared" si="0"/>
        <v>0</v>
      </c>
      <c r="T6" s="15">
        <f t="shared" si="0"/>
        <v>0</v>
      </c>
      <c r="U6" s="15">
        <f t="shared" si="1"/>
        <v>0</v>
      </c>
      <c r="V6" s="15">
        <f t="shared" si="2"/>
        <v>0</v>
      </c>
      <c r="X6" s="9">
        <f t="shared" si="3"/>
        <v>0</v>
      </c>
      <c r="Y6" s="9">
        <f t="shared" si="3"/>
        <v>0</v>
      </c>
      <c r="Z6" s="9">
        <f t="shared" si="3"/>
        <v>0</v>
      </c>
      <c r="AA6" s="9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4"/>
        <v>0</v>
      </c>
      <c r="AF6" s="15">
        <f t="shared" si="5"/>
        <v>0</v>
      </c>
      <c r="AG6" s="4"/>
      <c r="AJ6" s="1" t="s">
        <v>29</v>
      </c>
      <c r="AK6" s="1">
        <v>100</v>
      </c>
      <c r="AL6" s="1">
        <f>SUM(X5:AF10)</f>
        <v>0</v>
      </c>
      <c r="AM6" s="1">
        <f t="shared" si="6"/>
        <v>0</v>
      </c>
      <c r="AN6">
        <v>0</v>
      </c>
    </row>
    <row r="7" spans="2:40" x14ac:dyDescent="0.25">
      <c r="B7" s="27">
        <v>3</v>
      </c>
      <c r="C7" s="26">
        <v>19</v>
      </c>
      <c r="D7" s="14">
        <v>29</v>
      </c>
      <c r="E7" s="14">
        <v>4</v>
      </c>
      <c r="F7" s="14">
        <v>25</v>
      </c>
      <c r="G7" s="14">
        <v>23</v>
      </c>
      <c r="H7" s="14">
        <v>12</v>
      </c>
      <c r="I7" s="14">
        <v>21</v>
      </c>
      <c r="J7" s="14">
        <v>5</v>
      </c>
      <c r="K7" s="29"/>
      <c r="L7" s="4"/>
      <c r="M7" s="1">
        <v>3</v>
      </c>
      <c r="N7" s="16">
        <f t="shared" si="0"/>
        <v>0</v>
      </c>
      <c r="O7" s="16">
        <f t="shared" si="0"/>
        <v>0</v>
      </c>
      <c r="P7" s="16">
        <f t="shared" si="0"/>
        <v>0</v>
      </c>
      <c r="Q7" s="16">
        <f t="shared" si="0"/>
        <v>0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1"/>
        <v>0</v>
      </c>
      <c r="V7" s="17">
        <f t="shared" si="2"/>
        <v>0</v>
      </c>
      <c r="X7" s="16">
        <f t="shared" si="3"/>
        <v>0</v>
      </c>
      <c r="Y7" s="16">
        <f t="shared" si="3"/>
        <v>0</v>
      </c>
      <c r="Z7" s="16">
        <f t="shared" si="3"/>
        <v>0</v>
      </c>
      <c r="AA7" s="16">
        <f t="shared" si="3"/>
        <v>0</v>
      </c>
      <c r="AB7" s="17">
        <f t="shared" si="3"/>
        <v>0</v>
      </c>
      <c r="AC7" s="17">
        <f t="shared" si="3"/>
        <v>0</v>
      </c>
      <c r="AD7" s="17">
        <f t="shared" si="3"/>
        <v>0</v>
      </c>
      <c r="AE7" s="17">
        <f t="shared" si="4"/>
        <v>0</v>
      </c>
      <c r="AF7" s="17">
        <f t="shared" si="5"/>
        <v>0</v>
      </c>
      <c r="AG7" s="4"/>
      <c r="AJ7" s="1" t="s">
        <v>33</v>
      </c>
      <c r="AK7" s="1">
        <v>100</v>
      </c>
      <c r="AL7" s="1">
        <f>SUM(N26:V75)</f>
        <v>0</v>
      </c>
      <c r="AM7" s="1">
        <f t="shared" si="6"/>
        <v>0</v>
      </c>
      <c r="AN7">
        <v>0</v>
      </c>
    </row>
    <row r="8" spans="2:40" x14ac:dyDescent="0.25">
      <c r="B8" s="27">
        <v>4</v>
      </c>
      <c r="C8" s="26">
        <v>3</v>
      </c>
      <c r="D8" s="14">
        <v>20</v>
      </c>
      <c r="E8" s="14">
        <v>18</v>
      </c>
      <c r="F8" s="14">
        <v>40</v>
      </c>
      <c r="G8" s="14">
        <v>32</v>
      </c>
      <c r="H8" s="14">
        <v>6</v>
      </c>
      <c r="I8" s="14">
        <v>24</v>
      </c>
      <c r="J8" s="14">
        <v>11</v>
      </c>
      <c r="K8" s="29">
        <v>36</v>
      </c>
      <c r="L8" s="4"/>
      <c r="M8" s="1">
        <v>4</v>
      </c>
      <c r="N8" s="16">
        <f t="shared" si="0"/>
        <v>0</v>
      </c>
      <c r="O8" s="16">
        <f t="shared" si="0"/>
        <v>0</v>
      </c>
      <c r="P8" s="16">
        <f t="shared" si="0"/>
        <v>0</v>
      </c>
      <c r="Q8" s="16">
        <f t="shared" si="0"/>
        <v>0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1"/>
        <v>0</v>
      </c>
      <c r="V8" s="17">
        <f>IF(K8&lt;=0,0,IF(HLOOKUP(K8,eventMeta,2,FALSE)&gt;HLOOKUP($B8,rooms,5,FALSE),1,0))</f>
        <v>0</v>
      </c>
      <c r="X8" s="16">
        <f t="shared" si="3"/>
        <v>0</v>
      </c>
      <c r="Y8" s="16">
        <f t="shared" si="3"/>
        <v>0</v>
      </c>
      <c r="Z8" s="16">
        <f t="shared" si="3"/>
        <v>0</v>
      </c>
      <c r="AA8" s="16">
        <f t="shared" si="3"/>
        <v>0</v>
      </c>
      <c r="AB8" s="17">
        <f t="shared" si="3"/>
        <v>0</v>
      </c>
      <c r="AC8" s="17">
        <f t="shared" si="3"/>
        <v>0</v>
      </c>
      <c r="AD8" s="17">
        <f t="shared" si="3"/>
        <v>0</v>
      </c>
      <c r="AE8" s="17">
        <f t="shared" si="4"/>
        <v>0</v>
      </c>
      <c r="AF8" s="17">
        <f>IF(K8&lt;=0,0,HLOOKUP(K8,roomEvent,$B8+1,FALSE))</f>
        <v>0</v>
      </c>
      <c r="AG8" s="4"/>
      <c r="AJ8" s="1" t="s">
        <v>30</v>
      </c>
      <c r="AK8" s="1">
        <v>1</v>
      </c>
      <c r="AL8" s="1">
        <f>SUM(X26:AF75)</f>
        <v>4</v>
      </c>
      <c r="AM8" s="1">
        <f t="shared" si="6"/>
        <v>4</v>
      </c>
      <c r="AN8">
        <v>4</v>
      </c>
    </row>
    <row r="9" spans="2:40" x14ac:dyDescent="0.25">
      <c r="B9" s="27">
        <v>5</v>
      </c>
      <c r="C9" s="26"/>
      <c r="D9" s="14"/>
      <c r="E9" s="14">
        <v>27</v>
      </c>
      <c r="F9" s="14">
        <v>31</v>
      </c>
      <c r="G9" s="14">
        <v>33</v>
      </c>
      <c r="H9" s="14"/>
      <c r="I9" s="14"/>
      <c r="J9" s="14"/>
      <c r="K9" s="29"/>
      <c r="L9" s="4"/>
      <c r="M9" s="1">
        <v>5</v>
      </c>
      <c r="N9" s="16">
        <f t="shared" si="0"/>
        <v>0</v>
      </c>
      <c r="O9" s="16">
        <f t="shared" si="0"/>
        <v>0</v>
      </c>
      <c r="P9" s="16">
        <f t="shared" si="0"/>
        <v>0</v>
      </c>
      <c r="Q9" s="16">
        <f t="shared" si="0"/>
        <v>0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1"/>
        <v>0</v>
      </c>
      <c r="V9" s="17">
        <f>IF(K9&lt;=0,0,IF(HLOOKUP(K9,eventMeta,2,FALSE)&gt;HLOOKUP($B9,rooms,5,FALSE),1,0))</f>
        <v>0</v>
      </c>
      <c r="X9" s="16">
        <f t="shared" si="3"/>
        <v>0</v>
      </c>
      <c r="Y9" s="16">
        <f t="shared" si="3"/>
        <v>0</v>
      </c>
      <c r="Z9" s="16">
        <f t="shared" si="3"/>
        <v>0</v>
      </c>
      <c r="AA9" s="16">
        <f t="shared" si="3"/>
        <v>0</v>
      </c>
      <c r="AB9" s="17">
        <f t="shared" si="3"/>
        <v>0</v>
      </c>
      <c r="AC9" s="17">
        <f t="shared" si="3"/>
        <v>0</v>
      </c>
      <c r="AD9" s="17">
        <f t="shared" si="3"/>
        <v>0</v>
      </c>
      <c r="AE9" s="17">
        <f t="shared" si="4"/>
        <v>0</v>
      </c>
      <c r="AF9" s="17">
        <f>IF(K9&lt;=0,0,HLOOKUP(K9,roomEvent,$B9+1,FALSE))</f>
        <v>0</v>
      </c>
      <c r="AG9" s="4"/>
      <c r="AJ9" s="1" t="s">
        <v>31</v>
      </c>
      <c r="AK9" s="1">
        <v>1</v>
      </c>
      <c r="AL9" s="1">
        <f>SUM(AH26:AH75)</f>
        <v>11</v>
      </c>
      <c r="AM9" s="1">
        <f t="shared" si="6"/>
        <v>11</v>
      </c>
      <c r="AN9">
        <v>11</v>
      </c>
    </row>
    <row r="10" spans="2:40" ht="13.95" thickBot="1" x14ac:dyDescent="0.3">
      <c r="B10" s="30">
        <v>6</v>
      </c>
      <c r="C10" s="38">
        <v>38</v>
      </c>
      <c r="D10" s="31"/>
      <c r="E10" s="31"/>
      <c r="F10" s="31">
        <v>8</v>
      </c>
      <c r="G10" s="31"/>
      <c r="H10" s="31"/>
      <c r="I10" s="31">
        <v>34</v>
      </c>
      <c r="J10" s="31">
        <v>30</v>
      </c>
      <c r="K10" s="32"/>
      <c r="L10" s="4"/>
      <c r="M10" s="1">
        <v>6</v>
      </c>
      <c r="N10" s="16">
        <f t="shared" si="0"/>
        <v>0</v>
      </c>
      <c r="O10" s="16">
        <f t="shared" si="0"/>
        <v>0</v>
      </c>
      <c r="P10" s="16">
        <f t="shared" si="0"/>
        <v>0</v>
      </c>
      <c r="Q10" s="16">
        <f t="shared" si="0"/>
        <v>0</v>
      </c>
      <c r="R10" s="17">
        <f t="shared" si="0"/>
        <v>0</v>
      </c>
      <c r="S10" s="17">
        <f t="shared" si="0"/>
        <v>0</v>
      </c>
      <c r="T10" s="17">
        <f t="shared" si="0"/>
        <v>0</v>
      </c>
      <c r="U10" s="17">
        <f t="shared" si="1"/>
        <v>0</v>
      </c>
      <c r="V10" s="17">
        <f t="shared" si="2"/>
        <v>0</v>
      </c>
      <c r="X10" s="16">
        <f t="shared" si="3"/>
        <v>0</v>
      </c>
      <c r="Y10" s="16">
        <f t="shared" si="3"/>
        <v>0</v>
      </c>
      <c r="Z10" s="16">
        <f t="shared" si="3"/>
        <v>0</v>
      </c>
      <c r="AA10" s="16">
        <f t="shared" si="3"/>
        <v>0</v>
      </c>
      <c r="AB10" s="17">
        <f t="shared" si="3"/>
        <v>0</v>
      </c>
      <c r="AC10" s="17">
        <f t="shared" si="3"/>
        <v>0</v>
      </c>
      <c r="AD10" s="17">
        <f t="shared" si="3"/>
        <v>0</v>
      </c>
      <c r="AE10" s="17">
        <f t="shared" si="4"/>
        <v>0</v>
      </c>
      <c r="AF10" s="17">
        <f t="shared" si="5"/>
        <v>0</v>
      </c>
      <c r="AG10" s="4"/>
      <c r="AJ10" s="1" t="s">
        <v>32</v>
      </c>
      <c r="AK10" s="1">
        <v>1000</v>
      </c>
      <c r="AL10" s="1">
        <f>COUNTIF(data!C32:AP32,"&lt;&gt;1")</f>
        <v>0</v>
      </c>
      <c r="AM10" s="1">
        <f t="shared" si="6"/>
        <v>0</v>
      </c>
      <c r="AN10" s="44">
        <v>0</v>
      </c>
    </row>
    <row r="11" spans="2:40" ht="13.95" thickBot="1" x14ac:dyDescent="0.3">
      <c r="AJ11" s="24" t="s">
        <v>15</v>
      </c>
      <c r="AK11" s="24"/>
      <c r="AL11" s="24"/>
      <c r="AM11" s="24">
        <f>SUM(AM5:AM10)</f>
        <v>15</v>
      </c>
      <c r="AN11" s="45">
        <f>SUM(AN5:AN10)</f>
        <v>15</v>
      </c>
    </row>
    <row r="12" spans="2:40" ht="13.95" thickTop="1" x14ac:dyDescent="0.25">
      <c r="N12" s="64" t="s">
        <v>10</v>
      </c>
      <c r="O12" s="65"/>
      <c r="P12" s="65"/>
      <c r="Q12" s="65"/>
      <c r="R12" s="65"/>
      <c r="S12" s="65"/>
      <c r="T12" s="65"/>
      <c r="U12" s="65"/>
      <c r="V12" s="65"/>
      <c r="X12" s="53"/>
      <c r="Y12" s="53"/>
      <c r="Z12" s="53"/>
      <c r="AA12" s="53"/>
      <c r="AB12" s="53"/>
      <c r="AC12" s="53"/>
      <c r="AD12" s="53"/>
      <c r="AE12" s="53"/>
      <c r="AF12" s="53"/>
      <c r="AG12" s="4"/>
      <c r="AH12" s="53"/>
    </row>
    <row r="13" spans="2:40" x14ac:dyDescent="0.25">
      <c r="M13" s="1">
        <v>1</v>
      </c>
      <c r="N13" s="9">
        <f t="shared" ref="N13:V18" si="7">ttClash(C5,C$5:C$10,eventEvent)</f>
        <v>0</v>
      </c>
      <c r="O13" s="9">
        <f t="shared" si="7"/>
        <v>0</v>
      </c>
      <c r="P13" s="9">
        <f t="shared" si="7"/>
        <v>0</v>
      </c>
      <c r="Q13" s="9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2:40" x14ac:dyDescent="0.25">
      <c r="M14" s="1">
        <v>2</v>
      </c>
      <c r="N14" s="9">
        <f t="shared" si="7"/>
        <v>0</v>
      </c>
      <c r="O14" s="9">
        <f t="shared" si="7"/>
        <v>0</v>
      </c>
      <c r="P14" s="9">
        <f t="shared" si="7"/>
        <v>0</v>
      </c>
      <c r="Q14" s="9">
        <f t="shared" si="7"/>
        <v>0</v>
      </c>
      <c r="R14" s="15">
        <f t="shared" si="7"/>
        <v>0</v>
      </c>
      <c r="S14" s="15">
        <f t="shared" si="7"/>
        <v>0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</row>
    <row r="15" spans="2:40" ht="15.75" x14ac:dyDescent="0.3">
      <c r="I15" s="55"/>
      <c r="M15" s="1">
        <v>3</v>
      </c>
      <c r="N15" s="16">
        <f t="shared" si="7"/>
        <v>0</v>
      </c>
      <c r="O15" s="16">
        <f t="shared" si="7"/>
        <v>0</v>
      </c>
      <c r="P15" s="16">
        <f t="shared" si="7"/>
        <v>0</v>
      </c>
      <c r="Q15" s="16">
        <f t="shared" si="7"/>
        <v>0</v>
      </c>
      <c r="R15" s="17">
        <f t="shared" si="7"/>
        <v>0</v>
      </c>
      <c r="S15" s="17">
        <f t="shared" si="7"/>
        <v>0</v>
      </c>
      <c r="T15" s="17">
        <f t="shared" si="7"/>
        <v>0</v>
      </c>
      <c r="U15" s="17">
        <f t="shared" si="7"/>
        <v>0</v>
      </c>
      <c r="V15" s="17">
        <f t="shared" si="7"/>
        <v>0</v>
      </c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J15" s="54" t="s">
        <v>45</v>
      </c>
    </row>
    <row r="16" spans="2:40" x14ac:dyDescent="0.25">
      <c r="F16" s="55"/>
      <c r="H16" s="42"/>
      <c r="I16" s="42"/>
      <c r="M16" s="1">
        <v>4</v>
      </c>
      <c r="N16" s="16">
        <f t="shared" si="7"/>
        <v>0</v>
      </c>
      <c r="O16" s="16">
        <f t="shared" si="7"/>
        <v>0</v>
      </c>
      <c r="P16" s="16">
        <f t="shared" si="7"/>
        <v>0</v>
      </c>
      <c r="Q16" s="16">
        <f t="shared" si="7"/>
        <v>0</v>
      </c>
      <c r="R16" s="17">
        <f t="shared" si="7"/>
        <v>0</v>
      </c>
      <c r="S16" s="17">
        <f t="shared" si="7"/>
        <v>0</v>
      </c>
      <c r="T16" s="17">
        <f t="shared" si="7"/>
        <v>0</v>
      </c>
      <c r="U16" s="17">
        <f t="shared" si="7"/>
        <v>0</v>
      </c>
      <c r="V16" s="17">
        <f t="shared" si="7"/>
        <v>0</v>
      </c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2:39" x14ac:dyDescent="0.25">
      <c r="M17" s="1">
        <v>5</v>
      </c>
      <c r="N17" s="16">
        <f t="shared" si="7"/>
        <v>0</v>
      </c>
      <c r="O17" s="16">
        <f t="shared" si="7"/>
        <v>0</v>
      </c>
      <c r="P17" s="16">
        <f t="shared" si="7"/>
        <v>0</v>
      </c>
      <c r="Q17" s="16">
        <f t="shared" si="7"/>
        <v>0</v>
      </c>
      <c r="R17" s="17">
        <f t="shared" si="7"/>
        <v>0</v>
      </c>
      <c r="S17" s="17">
        <f t="shared" si="7"/>
        <v>0</v>
      </c>
      <c r="T17" s="17">
        <f t="shared" si="7"/>
        <v>0</v>
      </c>
      <c r="U17" s="17">
        <f t="shared" si="7"/>
        <v>0</v>
      </c>
      <c r="V17" s="17">
        <f t="shared" si="7"/>
        <v>0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J17" t="s">
        <v>38</v>
      </c>
      <c r="AK17" t="s">
        <v>36</v>
      </c>
      <c r="AL17" t="s">
        <v>34</v>
      </c>
      <c r="AM17" t="s">
        <v>35</v>
      </c>
    </row>
    <row r="18" spans="2:39" x14ac:dyDescent="0.25">
      <c r="M18" s="1">
        <v>6</v>
      </c>
      <c r="N18" s="16">
        <f t="shared" si="7"/>
        <v>0</v>
      </c>
      <c r="O18" s="16">
        <f t="shared" si="7"/>
        <v>0</v>
      </c>
      <c r="P18" s="16">
        <f t="shared" si="7"/>
        <v>0</v>
      </c>
      <c r="Q18" s="16">
        <f t="shared" si="7"/>
        <v>0</v>
      </c>
      <c r="R18" s="17">
        <f t="shared" si="7"/>
        <v>0</v>
      </c>
      <c r="S18" s="17">
        <f t="shared" si="7"/>
        <v>0</v>
      </c>
      <c r="T18" s="17">
        <f t="shared" si="7"/>
        <v>0</v>
      </c>
      <c r="U18" s="17">
        <f t="shared" si="7"/>
        <v>0</v>
      </c>
      <c r="V18" s="17">
        <f t="shared" si="7"/>
        <v>0</v>
      </c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J18" s="58">
        <v>1</v>
      </c>
      <c r="AK18" s="42">
        <v>1</v>
      </c>
      <c r="AL18" s="42">
        <v>0</v>
      </c>
      <c r="AM18" s="42">
        <v>1</v>
      </c>
    </row>
    <row r="19" spans="2:39" x14ac:dyDescent="0.25">
      <c r="AJ19" s="72">
        <v>2</v>
      </c>
      <c r="AK19" s="73">
        <v>1</v>
      </c>
      <c r="AL19" s="73">
        <v>0</v>
      </c>
      <c r="AM19" s="73">
        <v>1</v>
      </c>
    </row>
    <row r="20" spans="2:39" x14ac:dyDescent="0.25">
      <c r="AJ20" s="58">
        <v>3</v>
      </c>
      <c r="AK20" s="42">
        <v>1</v>
      </c>
      <c r="AL20" s="42">
        <v>0</v>
      </c>
      <c r="AM20" s="42">
        <v>1</v>
      </c>
    </row>
    <row r="21" spans="2:39" ht="17.55" x14ac:dyDescent="0.3">
      <c r="B21" s="61" t="s">
        <v>48</v>
      </c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J21" s="58">
        <v>4</v>
      </c>
      <c r="AK21" s="42">
        <v>1</v>
      </c>
      <c r="AL21" s="42">
        <v>0</v>
      </c>
      <c r="AM21" s="42">
        <v>1</v>
      </c>
    </row>
    <row r="22" spans="2:39" x14ac:dyDescent="0.25">
      <c r="AJ22" s="58">
        <v>5</v>
      </c>
      <c r="AK22" s="42">
        <v>1</v>
      </c>
      <c r="AL22" s="42">
        <v>0</v>
      </c>
      <c r="AM22" s="42">
        <v>0</v>
      </c>
    </row>
    <row r="23" spans="2:39" ht="13.95" thickBo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AJ23" s="58">
        <v>6</v>
      </c>
      <c r="AK23" s="42">
        <v>1</v>
      </c>
      <c r="AL23" s="42">
        <v>0</v>
      </c>
      <c r="AM23" s="42">
        <v>0</v>
      </c>
    </row>
    <row r="24" spans="2:39" ht="13.95" thickBot="1" x14ac:dyDescent="0.3">
      <c r="B24" s="57" t="s">
        <v>47</v>
      </c>
      <c r="C24" s="36">
        <v>1</v>
      </c>
      <c r="D24" s="33">
        <v>2</v>
      </c>
      <c r="E24" s="33">
        <v>3</v>
      </c>
      <c r="F24" s="33">
        <v>4</v>
      </c>
      <c r="G24" s="33">
        <v>5</v>
      </c>
      <c r="H24" s="34">
        <v>6</v>
      </c>
      <c r="I24" s="34">
        <v>7</v>
      </c>
      <c r="J24" s="34">
        <v>8</v>
      </c>
      <c r="K24" s="35">
        <v>9</v>
      </c>
      <c r="AJ24" s="58">
        <v>7</v>
      </c>
      <c r="AK24" s="60" t="s">
        <v>50</v>
      </c>
      <c r="AL24" s="60"/>
      <c r="AM24" s="60"/>
    </row>
    <row r="25" spans="2:39" x14ac:dyDescent="0.25">
      <c r="B25" s="2" t="s">
        <v>5</v>
      </c>
      <c r="C25" s="40"/>
      <c r="D25" s="41"/>
      <c r="E25" s="41"/>
      <c r="F25" s="41"/>
      <c r="G25" s="41"/>
      <c r="H25" s="6"/>
      <c r="I25" s="6"/>
      <c r="J25" s="6"/>
      <c r="K25" s="7"/>
      <c r="N25" s="64" t="s">
        <v>10</v>
      </c>
      <c r="O25" s="65"/>
      <c r="P25" s="65"/>
      <c r="Q25" s="65"/>
      <c r="R25" s="65"/>
      <c r="S25" s="65"/>
      <c r="T25" s="65"/>
      <c r="U25" s="65"/>
      <c r="V25" s="65"/>
      <c r="X25" s="66" t="s">
        <v>6</v>
      </c>
      <c r="Y25" s="67"/>
      <c r="Z25" s="67"/>
      <c r="AA25" s="67"/>
      <c r="AB25" s="67"/>
      <c r="AC25" s="67"/>
      <c r="AD25" s="67"/>
      <c r="AE25" s="67"/>
      <c r="AF25" s="67"/>
      <c r="AG25" s="39"/>
      <c r="AH25" s="23" t="s">
        <v>9</v>
      </c>
    </row>
    <row r="26" spans="2:39" x14ac:dyDescent="0.25">
      <c r="B26" s="12">
        <v>1</v>
      </c>
      <c r="C26" s="2">
        <f t="shared" ref="C26:K35" si="8">IF(studentClash(C$5:C$10,problem,$B26)&lt;0,"clash",studentClash(C$5:C$10,problem,$B26))</f>
        <v>37</v>
      </c>
      <c r="D26" s="2">
        <f t="shared" si="8"/>
        <v>20</v>
      </c>
      <c r="E26" s="2">
        <f t="shared" si="8"/>
        <v>0</v>
      </c>
      <c r="F26" s="2">
        <f t="shared" si="8"/>
        <v>0</v>
      </c>
      <c r="G26" s="2">
        <f t="shared" si="8"/>
        <v>1</v>
      </c>
      <c r="H26" s="2">
        <f t="shared" si="8"/>
        <v>0</v>
      </c>
      <c r="I26" s="2">
        <f t="shared" si="8"/>
        <v>26</v>
      </c>
      <c r="J26" s="2">
        <f t="shared" si="8"/>
        <v>9</v>
      </c>
      <c r="K26" s="18">
        <f t="shared" si="8"/>
        <v>0</v>
      </c>
      <c r="M26" s="1">
        <v>1</v>
      </c>
      <c r="N26" s="9">
        <f t="shared" ref="N26:N41" si="9">IF(C26="Clash",1,0)</f>
        <v>0</v>
      </c>
      <c r="O26" s="9">
        <f t="shared" ref="O26:O41" si="10">IF(D26="Clash",1,0)</f>
        <v>0</v>
      </c>
      <c r="P26" s="9">
        <f t="shared" ref="P26:P41" si="11">IF(E26="Clash",1,0)</f>
        <v>0</v>
      </c>
      <c r="Q26" s="9">
        <f t="shared" ref="Q26:Q41" si="12">IF(F26="Clash",1,0)</f>
        <v>0</v>
      </c>
      <c r="R26" s="15">
        <f t="shared" ref="R26:R41" si="13">IF(G26="Clash",1,0)</f>
        <v>0</v>
      </c>
      <c r="S26" s="15">
        <f t="shared" ref="S26:V41" si="14">IF(H26="Clash",1,0)</f>
        <v>0</v>
      </c>
      <c r="T26" s="15">
        <f t="shared" si="14"/>
        <v>0</v>
      </c>
      <c r="U26" s="15">
        <f t="shared" si="14"/>
        <v>0</v>
      </c>
      <c r="V26" s="15">
        <f t="shared" si="14"/>
        <v>0</v>
      </c>
      <c r="X26" s="10">
        <v>0</v>
      </c>
      <c r="Y26" s="10">
        <f t="shared" ref="Y26:Y41" si="15">IF(AND(C26&gt;0,D26&gt;0,E26&gt;0),1,0)</f>
        <v>0</v>
      </c>
      <c r="Z26" s="10">
        <f t="shared" ref="Z26:Z41" si="16">IF(AND(D26&gt;0,E26&gt;0,F26&gt;0),1,0)</f>
        <v>0</v>
      </c>
      <c r="AA26" s="10">
        <f t="shared" ref="AA26:AA41" si="17">IF(AND(E26&gt;0,F26&gt;0,G26&gt;0),1,0)</f>
        <v>0</v>
      </c>
      <c r="AB26" s="10">
        <f t="shared" ref="AB26:AE41" si="18">IF(AND(F26&gt;0,G26&gt;0,H26&gt;0),1,0)</f>
        <v>0</v>
      </c>
      <c r="AC26" s="10">
        <f t="shared" si="18"/>
        <v>0</v>
      </c>
      <c r="AD26" s="10">
        <f t="shared" si="18"/>
        <v>0</v>
      </c>
      <c r="AE26" s="10">
        <f t="shared" si="18"/>
        <v>0</v>
      </c>
      <c r="AF26" s="20">
        <v>0</v>
      </c>
      <c r="AG26" s="19"/>
      <c r="AH26" s="20">
        <f>IF(K26&lt;&gt;0,1,0)</f>
        <v>0</v>
      </c>
    </row>
    <row r="27" spans="2:39" x14ac:dyDescent="0.25">
      <c r="B27" s="8">
        <v>2</v>
      </c>
      <c r="C27" s="2">
        <f t="shared" si="8"/>
        <v>10</v>
      </c>
      <c r="D27" s="2">
        <f t="shared" si="8"/>
        <v>35</v>
      </c>
      <c r="E27" s="2">
        <f t="shared" si="8"/>
        <v>0</v>
      </c>
      <c r="F27" s="2">
        <f t="shared" si="8"/>
        <v>31</v>
      </c>
      <c r="G27" s="2">
        <f t="shared" si="8"/>
        <v>0</v>
      </c>
      <c r="H27" s="2">
        <f t="shared" si="8"/>
        <v>0</v>
      </c>
      <c r="I27" s="2">
        <f t="shared" si="8"/>
        <v>24</v>
      </c>
      <c r="J27" s="2">
        <f t="shared" si="8"/>
        <v>0</v>
      </c>
      <c r="K27" s="18">
        <f t="shared" si="8"/>
        <v>0</v>
      </c>
      <c r="M27" s="1">
        <v>2</v>
      </c>
      <c r="N27" s="9">
        <f t="shared" si="9"/>
        <v>0</v>
      </c>
      <c r="O27" s="9">
        <f t="shared" si="10"/>
        <v>0</v>
      </c>
      <c r="P27" s="9">
        <f t="shared" si="11"/>
        <v>0</v>
      </c>
      <c r="Q27" s="9">
        <f t="shared" si="12"/>
        <v>0</v>
      </c>
      <c r="R27" s="15">
        <f t="shared" si="13"/>
        <v>0</v>
      </c>
      <c r="S27" s="15">
        <f t="shared" si="14"/>
        <v>0</v>
      </c>
      <c r="T27" s="15">
        <f t="shared" si="14"/>
        <v>0</v>
      </c>
      <c r="U27" s="15">
        <f t="shared" si="14"/>
        <v>0</v>
      </c>
      <c r="V27" s="15">
        <f t="shared" si="14"/>
        <v>0</v>
      </c>
      <c r="X27" s="10">
        <v>0</v>
      </c>
      <c r="Y27" s="10">
        <f t="shared" si="15"/>
        <v>0</v>
      </c>
      <c r="Z27" s="10">
        <f t="shared" si="16"/>
        <v>0</v>
      </c>
      <c r="AA27" s="10">
        <f t="shared" si="17"/>
        <v>0</v>
      </c>
      <c r="AB27" s="10">
        <f t="shared" si="18"/>
        <v>0</v>
      </c>
      <c r="AC27" s="10">
        <f t="shared" si="18"/>
        <v>0</v>
      </c>
      <c r="AD27" s="10">
        <f t="shared" si="18"/>
        <v>0</v>
      </c>
      <c r="AE27" s="10">
        <f t="shared" si="18"/>
        <v>0</v>
      </c>
      <c r="AF27" s="20">
        <v>0</v>
      </c>
      <c r="AG27" s="19"/>
      <c r="AH27" s="20">
        <f t="shared" ref="AH27:AH41" si="19">IF(K27&lt;&gt;0,1,0)</f>
        <v>0</v>
      </c>
    </row>
    <row r="28" spans="2:39" ht="15.75" x14ac:dyDescent="0.3">
      <c r="B28" s="8">
        <v>3</v>
      </c>
      <c r="C28" s="2">
        <f t="shared" si="8"/>
        <v>0</v>
      </c>
      <c r="D28" s="2">
        <f t="shared" si="8"/>
        <v>0</v>
      </c>
      <c r="E28" s="2">
        <f t="shared" si="8"/>
        <v>22</v>
      </c>
      <c r="F28" s="2">
        <f t="shared" si="8"/>
        <v>40</v>
      </c>
      <c r="G28" s="2">
        <f t="shared" si="8"/>
        <v>0</v>
      </c>
      <c r="H28" s="2">
        <f t="shared" si="8"/>
        <v>0</v>
      </c>
      <c r="I28" s="2">
        <f t="shared" si="8"/>
        <v>34</v>
      </c>
      <c r="J28" s="2">
        <f t="shared" si="8"/>
        <v>0</v>
      </c>
      <c r="K28" s="18">
        <f t="shared" si="8"/>
        <v>0</v>
      </c>
      <c r="M28" s="1">
        <v>3</v>
      </c>
      <c r="N28" s="9">
        <f t="shared" si="9"/>
        <v>0</v>
      </c>
      <c r="O28" s="9">
        <f t="shared" si="10"/>
        <v>0</v>
      </c>
      <c r="P28" s="9">
        <f t="shared" si="11"/>
        <v>0</v>
      </c>
      <c r="Q28" s="9">
        <f t="shared" si="12"/>
        <v>0</v>
      </c>
      <c r="R28" s="15">
        <f t="shared" si="13"/>
        <v>0</v>
      </c>
      <c r="S28" s="15">
        <f t="shared" si="14"/>
        <v>0</v>
      </c>
      <c r="T28" s="15">
        <f t="shared" si="14"/>
        <v>0</v>
      </c>
      <c r="U28" s="15">
        <f t="shared" si="14"/>
        <v>0</v>
      </c>
      <c r="V28" s="15">
        <f t="shared" si="14"/>
        <v>0</v>
      </c>
      <c r="X28" s="10">
        <v>0</v>
      </c>
      <c r="Y28" s="10">
        <f t="shared" si="15"/>
        <v>0</v>
      </c>
      <c r="Z28" s="10">
        <f t="shared" si="16"/>
        <v>0</v>
      </c>
      <c r="AA28" s="10">
        <f t="shared" si="17"/>
        <v>0</v>
      </c>
      <c r="AB28" s="10">
        <f t="shared" si="18"/>
        <v>0</v>
      </c>
      <c r="AC28" s="10">
        <f t="shared" si="18"/>
        <v>0</v>
      </c>
      <c r="AD28" s="10">
        <f t="shared" si="18"/>
        <v>0</v>
      </c>
      <c r="AE28" s="10">
        <f t="shared" si="18"/>
        <v>0</v>
      </c>
      <c r="AF28" s="20">
        <v>0</v>
      </c>
      <c r="AG28" s="19"/>
      <c r="AH28" s="20">
        <f t="shared" si="19"/>
        <v>0</v>
      </c>
      <c r="AJ28" s="54" t="s">
        <v>46</v>
      </c>
    </row>
    <row r="29" spans="2:39" x14ac:dyDescent="0.25">
      <c r="B29" s="8">
        <v>4</v>
      </c>
      <c r="C29" s="2">
        <f t="shared" si="8"/>
        <v>0</v>
      </c>
      <c r="D29" s="2">
        <f t="shared" si="8"/>
        <v>0</v>
      </c>
      <c r="E29" s="2">
        <f t="shared" si="8"/>
        <v>27</v>
      </c>
      <c r="F29" s="2">
        <f t="shared" si="8"/>
        <v>39</v>
      </c>
      <c r="G29" s="2">
        <f t="shared" si="8"/>
        <v>0</v>
      </c>
      <c r="H29" s="2">
        <f t="shared" si="8"/>
        <v>0</v>
      </c>
      <c r="I29" s="2">
        <f t="shared" si="8"/>
        <v>15</v>
      </c>
      <c r="J29" s="2">
        <f t="shared" si="8"/>
        <v>0</v>
      </c>
      <c r="K29" s="18">
        <f t="shared" si="8"/>
        <v>0</v>
      </c>
      <c r="M29" s="1">
        <v>4</v>
      </c>
      <c r="N29" s="9">
        <f t="shared" si="9"/>
        <v>0</v>
      </c>
      <c r="O29" s="9">
        <f t="shared" si="10"/>
        <v>0</v>
      </c>
      <c r="P29" s="9">
        <f t="shared" si="11"/>
        <v>0</v>
      </c>
      <c r="Q29" s="9">
        <f t="shared" si="12"/>
        <v>0</v>
      </c>
      <c r="R29" s="15">
        <f t="shared" si="13"/>
        <v>0</v>
      </c>
      <c r="S29" s="15">
        <f t="shared" si="14"/>
        <v>0</v>
      </c>
      <c r="T29" s="15">
        <f t="shared" si="14"/>
        <v>0</v>
      </c>
      <c r="U29" s="15">
        <f t="shared" si="14"/>
        <v>0</v>
      </c>
      <c r="V29" s="15">
        <f t="shared" si="14"/>
        <v>0</v>
      </c>
      <c r="X29" s="10">
        <v>0</v>
      </c>
      <c r="Y29" s="10">
        <f t="shared" si="15"/>
        <v>0</v>
      </c>
      <c r="Z29" s="10">
        <f t="shared" si="16"/>
        <v>0</v>
      </c>
      <c r="AA29" s="10">
        <f t="shared" si="17"/>
        <v>0</v>
      </c>
      <c r="AB29" s="10">
        <f t="shared" si="18"/>
        <v>0</v>
      </c>
      <c r="AC29" s="10">
        <f t="shared" si="18"/>
        <v>0</v>
      </c>
      <c r="AD29" s="10">
        <f t="shared" si="18"/>
        <v>0</v>
      </c>
      <c r="AE29" s="10">
        <f t="shared" si="18"/>
        <v>0</v>
      </c>
      <c r="AF29" s="20">
        <v>0</v>
      </c>
      <c r="AG29" s="19"/>
      <c r="AH29" s="20">
        <f t="shared" si="19"/>
        <v>0</v>
      </c>
    </row>
    <row r="30" spans="2:39" x14ac:dyDescent="0.25">
      <c r="B30" s="8">
        <v>5</v>
      </c>
      <c r="C30" s="2">
        <f t="shared" si="8"/>
        <v>37</v>
      </c>
      <c r="D30" s="2">
        <f t="shared" si="8"/>
        <v>0</v>
      </c>
      <c r="E30" s="2">
        <f t="shared" si="8"/>
        <v>0</v>
      </c>
      <c r="F30" s="2">
        <f t="shared" si="8"/>
        <v>39</v>
      </c>
      <c r="G30" s="2">
        <f t="shared" si="8"/>
        <v>0</v>
      </c>
      <c r="H30" s="2">
        <f t="shared" si="8"/>
        <v>12</v>
      </c>
      <c r="I30" s="2">
        <f t="shared" si="8"/>
        <v>0</v>
      </c>
      <c r="J30" s="2">
        <f t="shared" si="8"/>
        <v>0</v>
      </c>
      <c r="K30" s="18">
        <f t="shared" si="8"/>
        <v>0</v>
      </c>
      <c r="M30" s="1">
        <v>5</v>
      </c>
      <c r="N30" s="9">
        <f t="shared" si="9"/>
        <v>0</v>
      </c>
      <c r="O30" s="9">
        <f t="shared" si="10"/>
        <v>0</v>
      </c>
      <c r="P30" s="9">
        <f t="shared" si="11"/>
        <v>0</v>
      </c>
      <c r="Q30" s="9">
        <f t="shared" si="12"/>
        <v>0</v>
      </c>
      <c r="R30" s="15">
        <f t="shared" si="13"/>
        <v>0</v>
      </c>
      <c r="S30" s="15">
        <f t="shared" si="14"/>
        <v>0</v>
      </c>
      <c r="T30" s="15">
        <f t="shared" si="14"/>
        <v>0</v>
      </c>
      <c r="U30" s="15">
        <f t="shared" si="14"/>
        <v>0</v>
      </c>
      <c r="V30" s="15">
        <f t="shared" si="14"/>
        <v>0</v>
      </c>
      <c r="X30" s="10">
        <v>0</v>
      </c>
      <c r="Y30" s="10">
        <f t="shared" si="15"/>
        <v>0</v>
      </c>
      <c r="Z30" s="10">
        <f t="shared" si="16"/>
        <v>0</v>
      </c>
      <c r="AA30" s="10">
        <f t="shared" si="17"/>
        <v>0</v>
      </c>
      <c r="AB30" s="10">
        <f t="shared" si="18"/>
        <v>0</v>
      </c>
      <c r="AC30" s="10">
        <f t="shared" si="18"/>
        <v>0</v>
      </c>
      <c r="AD30" s="10">
        <f t="shared" si="18"/>
        <v>0</v>
      </c>
      <c r="AE30" s="10">
        <f t="shared" si="18"/>
        <v>0</v>
      </c>
      <c r="AF30" s="20">
        <v>0</v>
      </c>
      <c r="AG30" s="19"/>
      <c r="AH30" s="20">
        <f t="shared" si="19"/>
        <v>0</v>
      </c>
      <c r="AK30" t="s">
        <v>36</v>
      </c>
      <c r="AL30" t="s">
        <v>39</v>
      </c>
      <c r="AM30" t="s">
        <v>35</v>
      </c>
    </row>
    <row r="31" spans="2:39" x14ac:dyDescent="0.25">
      <c r="B31" s="8">
        <v>6</v>
      </c>
      <c r="C31" s="2">
        <f t="shared" si="8"/>
        <v>0</v>
      </c>
      <c r="D31" s="2">
        <f t="shared" si="8"/>
        <v>28</v>
      </c>
      <c r="E31" s="2">
        <f t="shared" si="8"/>
        <v>4</v>
      </c>
      <c r="F31" s="2">
        <f t="shared" si="8"/>
        <v>0</v>
      </c>
      <c r="G31" s="2">
        <f t="shared" si="8"/>
        <v>23</v>
      </c>
      <c r="H31" s="2">
        <f t="shared" si="8"/>
        <v>6</v>
      </c>
      <c r="I31" s="2">
        <f t="shared" si="8"/>
        <v>0</v>
      </c>
      <c r="J31" s="2">
        <f t="shared" si="8"/>
        <v>17</v>
      </c>
      <c r="K31" s="18">
        <f t="shared" si="8"/>
        <v>2</v>
      </c>
      <c r="M31" s="1">
        <v>6</v>
      </c>
      <c r="N31" s="9">
        <f t="shared" si="9"/>
        <v>0</v>
      </c>
      <c r="O31" s="9">
        <f t="shared" si="10"/>
        <v>0</v>
      </c>
      <c r="P31" s="9">
        <f t="shared" si="11"/>
        <v>0</v>
      </c>
      <c r="Q31" s="9">
        <f t="shared" si="12"/>
        <v>0</v>
      </c>
      <c r="R31" s="15">
        <f t="shared" si="13"/>
        <v>0</v>
      </c>
      <c r="S31" s="15">
        <f t="shared" si="14"/>
        <v>0</v>
      </c>
      <c r="T31" s="15">
        <f t="shared" si="14"/>
        <v>0</v>
      </c>
      <c r="U31" s="15">
        <f t="shared" si="14"/>
        <v>0</v>
      </c>
      <c r="V31" s="15">
        <f t="shared" si="14"/>
        <v>0</v>
      </c>
      <c r="X31" s="10">
        <v>0</v>
      </c>
      <c r="Y31" s="10">
        <f t="shared" si="15"/>
        <v>0</v>
      </c>
      <c r="Z31" s="10">
        <f t="shared" si="16"/>
        <v>0</v>
      </c>
      <c r="AA31" s="10">
        <f t="shared" si="17"/>
        <v>0</v>
      </c>
      <c r="AB31" s="10">
        <f t="shared" si="18"/>
        <v>0</v>
      </c>
      <c r="AC31" s="10">
        <f t="shared" si="18"/>
        <v>0</v>
      </c>
      <c r="AD31" s="10">
        <f t="shared" si="18"/>
        <v>0</v>
      </c>
      <c r="AE31" s="10">
        <f t="shared" si="18"/>
        <v>0</v>
      </c>
      <c r="AF31" s="20">
        <v>0</v>
      </c>
      <c r="AG31" s="19"/>
      <c r="AH31" s="20">
        <f t="shared" si="19"/>
        <v>1</v>
      </c>
      <c r="AK31" s="59" t="s">
        <v>51</v>
      </c>
      <c r="AL31">
        <v>100</v>
      </c>
      <c r="AM31">
        <v>100</v>
      </c>
    </row>
    <row r="32" spans="2:39" x14ac:dyDescent="0.25">
      <c r="B32" s="8">
        <v>7</v>
      </c>
      <c r="C32" s="2">
        <f t="shared" si="8"/>
        <v>0</v>
      </c>
      <c r="D32" s="2">
        <f t="shared" si="8"/>
        <v>0</v>
      </c>
      <c r="E32" s="2">
        <f t="shared" si="8"/>
        <v>22</v>
      </c>
      <c r="F32" s="2">
        <f t="shared" si="8"/>
        <v>40</v>
      </c>
      <c r="G32" s="2">
        <f t="shared" si="8"/>
        <v>0</v>
      </c>
      <c r="H32" s="2">
        <f t="shared" si="8"/>
        <v>0</v>
      </c>
      <c r="I32" s="2">
        <f t="shared" si="8"/>
        <v>0</v>
      </c>
      <c r="J32" s="2">
        <f t="shared" si="8"/>
        <v>17</v>
      </c>
      <c r="K32" s="18">
        <f t="shared" si="8"/>
        <v>36</v>
      </c>
      <c r="M32" s="1">
        <v>7</v>
      </c>
      <c r="N32" s="9">
        <f t="shared" si="9"/>
        <v>0</v>
      </c>
      <c r="O32" s="9">
        <f t="shared" si="10"/>
        <v>0</v>
      </c>
      <c r="P32" s="9">
        <f t="shared" si="11"/>
        <v>0</v>
      </c>
      <c r="Q32" s="9">
        <f t="shared" si="12"/>
        <v>0</v>
      </c>
      <c r="R32" s="15">
        <f t="shared" si="13"/>
        <v>0</v>
      </c>
      <c r="S32" s="15">
        <f t="shared" si="14"/>
        <v>0</v>
      </c>
      <c r="T32" s="15">
        <f t="shared" si="14"/>
        <v>0</v>
      </c>
      <c r="U32" s="15">
        <f t="shared" si="14"/>
        <v>0</v>
      </c>
      <c r="V32" s="15">
        <f t="shared" si="14"/>
        <v>0</v>
      </c>
      <c r="X32" s="10">
        <v>0</v>
      </c>
      <c r="Y32" s="10">
        <f t="shared" si="15"/>
        <v>0</v>
      </c>
      <c r="Z32" s="10">
        <f t="shared" si="16"/>
        <v>0</v>
      </c>
      <c r="AA32" s="10">
        <f t="shared" si="17"/>
        <v>0</v>
      </c>
      <c r="AB32" s="10">
        <f t="shared" si="18"/>
        <v>0</v>
      </c>
      <c r="AC32" s="10">
        <f t="shared" si="18"/>
        <v>0</v>
      </c>
      <c r="AD32" s="10">
        <f t="shared" si="18"/>
        <v>0</v>
      </c>
      <c r="AE32" s="10">
        <f t="shared" si="18"/>
        <v>0</v>
      </c>
      <c r="AF32" s="20">
        <v>0</v>
      </c>
      <c r="AG32" s="19"/>
      <c r="AH32" s="20">
        <f t="shared" si="19"/>
        <v>1</v>
      </c>
      <c r="AK32">
        <v>5</v>
      </c>
      <c r="AL32">
        <v>100</v>
      </c>
      <c r="AM32">
        <v>5</v>
      </c>
    </row>
    <row r="33" spans="2:34" x14ac:dyDescent="0.25">
      <c r="B33" s="8">
        <v>8</v>
      </c>
      <c r="C33" s="2">
        <f t="shared" si="8"/>
        <v>0</v>
      </c>
      <c r="D33" s="2">
        <f t="shared" si="8"/>
        <v>0</v>
      </c>
      <c r="E33" s="2">
        <f t="shared" si="8"/>
        <v>27</v>
      </c>
      <c r="F33" s="2">
        <f t="shared" si="8"/>
        <v>0</v>
      </c>
      <c r="G33" s="2">
        <f t="shared" si="8"/>
        <v>16</v>
      </c>
      <c r="H33" s="2">
        <f t="shared" si="8"/>
        <v>14</v>
      </c>
      <c r="I33" s="2">
        <f t="shared" si="8"/>
        <v>26</v>
      </c>
      <c r="J33" s="2">
        <f t="shared" si="8"/>
        <v>0</v>
      </c>
      <c r="K33" s="18">
        <f t="shared" si="8"/>
        <v>7</v>
      </c>
      <c r="M33" s="1">
        <v>8</v>
      </c>
      <c r="N33" s="9">
        <f t="shared" si="9"/>
        <v>0</v>
      </c>
      <c r="O33" s="9">
        <f t="shared" si="10"/>
        <v>0</v>
      </c>
      <c r="P33" s="9">
        <f t="shared" si="11"/>
        <v>0</v>
      </c>
      <c r="Q33" s="9">
        <f t="shared" si="12"/>
        <v>0</v>
      </c>
      <c r="R33" s="15">
        <f t="shared" si="13"/>
        <v>0</v>
      </c>
      <c r="S33" s="15">
        <f t="shared" si="14"/>
        <v>0</v>
      </c>
      <c r="T33" s="15">
        <f t="shared" si="14"/>
        <v>0</v>
      </c>
      <c r="U33" s="15">
        <f t="shared" si="14"/>
        <v>0</v>
      </c>
      <c r="V33" s="15">
        <f t="shared" si="14"/>
        <v>0</v>
      </c>
      <c r="X33" s="10">
        <v>0</v>
      </c>
      <c r="Y33" s="10">
        <f t="shared" si="15"/>
        <v>0</v>
      </c>
      <c r="Z33" s="10">
        <f t="shared" si="16"/>
        <v>0</v>
      </c>
      <c r="AA33" s="10">
        <f t="shared" si="17"/>
        <v>0</v>
      </c>
      <c r="AB33" s="10">
        <f t="shared" si="18"/>
        <v>0</v>
      </c>
      <c r="AC33" s="10">
        <f t="shared" si="18"/>
        <v>1</v>
      </c>
      <c r="AD33" s="10">
        <f t="shared" si="18"/>
        <v>0</v>
      </c>
      <c r="AE33" s="10">
        <f t="shared" si="18"/>
        <v>0</v>
      </c>
      <c r="AF33" s="20">
        <v>0</v>
      </c>
      <c r="AG33" s="19"/>
      <c r="AH33" s="20">
        <f t="shared" si="19"/>
        <v>1</v>
      </c>
    </row>
    <row r="34" spans="2:34" x14ac:dyDescent="0.25">
      <c r="B34" s="8">
        <v>9</v>
      </c>
      <c r="C34" s="2">
        <f t="shared" si="8"/>
        <v>3</v>
      </c>
      <c r="D34" s="2">
        <f t="shared" si="8"/>
        <v>28</v>
      </c>
      <c r="E34" s="2">
        <f t="shared" si="8"/>
        <v>0</v>
      </c>
      <c r="F34" s="2">
        <f t="shared" si="8"/>
        <v>0</v>
      </c>
      <c r="G34" s="2">
        <f t="shared" si="8"/>
        <v>33</v>
      </c>
      <c r="H34" s="2">
        <f t="shared" si="8"/>
        <v>0</v>
      </c>
      <c r="I34" s="2">
        <f t="shared" si="8"/>
        <v>0</v>
      </c>
      <c r="J34" s="2">
        <f t="shared" si="8"/>
        <v>0</v>
      </c>
      <c r="K34" s="18">
        <f t="shared" si="8"/>
        <v>0</v>
      </c>
      <c r="M34" s="1">
        <v>9</v>
      </c>
      <c r="N34" s="9">
        <f t="shared" si="9"/>
        <v>0</v>
      </c>
      <c r="O34" s="9">
        <f t="shared" si="10"/>
        <v>0</v>
      </c>
      <c r="P34" s="9">
        <f t="shared" si="11"/>
        <v>0</v>
      </c>
      <c r="Q34" s="9">
        <f t="shared" si="12"/>
        <v>0</v>
      </c>
      <c r="R34" s="15">
        <f t="shared" si="13"/>
        <v>0</v>
      </c>
      <c r="S34" s="15">
        <f t="shared" si="14"/>
        <v>0</v>
      </c>
      <c r="T34" s="15">
        <f t="shared" si="14"/>
        <v>0</v>
      </c>
      <c r="U34" s="15">
        <f t="shared" si="14"/>
        <v>0</v>
      </c>
      <c r="V34" s="15">
        <f t="shared" si="14"/>
        <v>0</v>
      </c>
      <c r="X34" s="10">
        <v>0</v>
      </c>
      <c r="Y34" s="10">
        <f t="shared" si="15"/>
        <v>0</v>
      </c>
      <c r="Z34" s="10">
        <f t="shared" si="16"/>
        <v>0</v>
      </c>
      <c r="AA34" s="10">
        <f t="shared" si="17"/>
        <v>0</v>
      </c>
      <c r="AB34" s="10">
        <f t="shared" si="18"/>
        <v>0</v>
      </c>
      <c r="AC34" s="10">
        <f t="shared" si="18"/>
        <v>0</v>
      </c>
      <c r="AD34" s="10">
        <f t="shared" si="18"/>
        <v>0</v>
      </c>
      <c r="AE34" s="10">
        <f t="shared" si="18"/>
        <v>0</v>
      </c>
      <c r="AF34" s="20">
        <v>0</v>
      </c>
      <c r="AG34" s="19"/>
      <c r="AH34" s="20">
        <f t="shared" si="19"/>
        <v>0</v>
      </c>
    </row>
    <row r="35" spans="2:34" x14ac:dyDescent="0.25">
      <c r="B35" s="8">
        <v>10</v>
      </c>
      <c r="C35" s="2">
        <f t="shared" si="8"/>
        <v>10</v>
      </c>
      <c r="D35" s="2">
        <f t="shared" si="8"/>
        <v>29</v>
      </c>
      <c r="E35" s="2">
        <f t="shared" si="8"/>
        <v>0</v>
      </c>
      <c r="F35" s="2">
        <f t="shared" si="8"/>
        <v>31</v>
      </c>
      <c r="G35" s="2">
        <f t="shared" si="8"/>
        <v>0</v>
      </c>
      <c r="H35" s="2">
        <f t="shared" si="8"/>
        <v>0</v>
      </c>
      <c r="I35" s="2">
        <f t="shared" si="8"/>
        <v>26</v>
      </c>
      <c r="J35" s="2">
        <f t="shared" si="8"/>
        <v>0</v>
      </c>
      <c r="K35" s="18">
        <f t="shared" si="8"/>
        <v>36</v>
      </c>
      <c r="M35" s="1">
        <v>10</v>
      </c>
      <c r="N35" s="9">
        <f t="shared" si="9"/>
        <v>0</v>
      </c>
      <c r="O35" s="9">
        <f t="shared" si="10"/>
        <v>0</v>
      </c>
      <c r="P35" s="9">
        <f t="shared" si="11"/>
        <v>0</v>
      </c>
      <c r="Q35" s="9">
        <f t="shared" si="12"/>
        <v>0</v>
      </c>
      <c r="R35" s="15">
        <f t="shared" si="13"/>
        <v>0</v>
      </c>
      <c r="S35" s="15">
        <f t="shared" si="14"/>
        <v>0</v>
      </c>
      <c r="T35" s="15">
        <f t="shared" si="14"/>
        <v>0</v>
      </c>
      <c r="U35" s="15">
        <f t="shared" si="14"/>
        <v>0</v>
      </c>
      <c r="V35" s="15">
        <f t="shared" si="14"/>
        <v>0</v>
      </c>
      <c r="X35" s="10">
        <v>0</v>
      </c>
      <c r="Y35" s="10">
        <f t="shared" si="15"/>
        <v>0</v>
      </c>
      <c r="Z35" s="10">
        <f t="shared" si="16"/>
        <v>0</v>
      </c>
      <c r="AA35" s="10">
        <f t="shared" si="17"/>
        <v>0</v>
      </c>
      <c r="AB35" s="10">
        <f t="shared" si="18"/>
        <v>0</v>
      </c>
      <c r="AC35" s="10">
        <f t="shared" si="18"/>
        <v>0</v>
      </c>
      <c r="AD35" s="10">
        <f t="shared" si="18"/>
        <v>0</v>
      </c>
      <c r="AE35" s="10">
        <f t="shared" si="18"/>
        <v>0</v>
      </c>
      <c r="AF35" s="20">
        <v>0</v>
      </c>
      <c r="AG35" s="19"/>
      <c r="AH35" s="20">
        <f t="shared" si="19"/>
        <v>1</v>
      </c>
    </row>
    <row r="36" spans="2:34" x14ac:dyDescent="0.25">
      <c r="B36" s="8">
        <v>11</v>
      </c>
      <c r="C36" s="2">
        <f t="shared" ref="C36:K45" si="20">IF(studentClash(C$5:C$10,problem,$B36)&lt;0,"clash",studentClash(C$5:C$10,problem,$B36))</f>
        <v>38</v>
      </c>
      <c r="D36" s="2">
        <f t="shared" si="20"/>
        <v>0</v>
      </c>
      <c r="E36" s="2">
        <f t="shared" si="20"/>
        <v>27</v>
      </c>
      <c r="F36" s="2">
        <f t="shared" si="20"/>
        <v>0</v>
      </c>
      <c r="G36" s="2">
        <f t="shared" si="20"/>
        <v>32</v>
      </c>
      <c r="H36" s="2">
        <f t="shared" si="20"/>
        <v>14</v>
      </c>
      <c r="I36" s="2">
        <f t="shared" si="20"/>
        <v>0</v>
      </c>
      <c r="J36" s="2">
        <f t="shared" si="20"/>
        <v>0</v>
      </c>
      <c r="K36" s="18">
        <f t="shared" si="20"/>
        <v>0</v>
      </c>
      <c r="M36" s="1">
        <v>11</v>
      </c>
      <c r="N36" s="9">
        <f t="shared" si="9"/>
        <v>0</v>
      </c>
      <c r="O36" s="9">
        <f t="shared" si="10"/>
        <v>0</v>
      </c>
      <c r="P36" s="9">
        <f t="shared" si="11"/>
        <v>0</v>
      </c>
      <c r="Q36" s="9">
        <f t="shared" si="12"/>
        <v>0</v>
      </c>
      <c r="R36" s="15">
        <f t="shared" si="13"/>
        <v>0</v>
      </c>
      <c r="S36" s="15">
        <f t="shared" si="14"/>
        <v>0</v>
      </c>
      <c r="T36" s="15">
        <f t="shared" si="14"/>
        <v>0</v>
      </c>
      <c r="U36" s="15">
        <f t="shared" si="14"/>
        <v>0</v>
      </c>
      <c r="V36" s="15">
        <f t="shared" si="14"/>
        <v>0</v>
      </c>
      <c r="X36" s="10">
        <v>0</v>
      </c>
      <c r="Y36" s="10">
        <f t="shared" si="15"/>
        <v>0</v>
      </c>
      <c r="Z36" s="10">
        <f t="shared" si="16"/>
        <v>0</v>
      </c>
      <c r="AA36" s="10">
        <f t="shared" si="17"/>
        <v>0</v>
      </c>
      <c r="AB36" s="10">
        <f t="shared" si="18"/>
        <v>0</v>
      </c>
      <c r="AC36" s="10">
        <f t="shared" si="18"/>
        <v>0</v>
      </c>
      <c r="AD36" s="10">
        <f t="shared" si="18"/>
        <v>0</v>
      </c>
      <c r="AE36" s="10">
        <f t="shared" si="18"/>
        <v>0</v>
      </c>
      <c r="AF36" s="20">
        <v>0</v>
      </c>
      <c r="AG36" s="19"/>
      <c r="AH36" s="20">
        <f t="shared" si="19"/>
        <v>0</v>
      </c>
    </row>
    <row r="37" spans="2:34" x14ac:dyDescent="0.25">
      <c r="B37" s="8">
        <v>12</v>
      </c>
      <c r="C37" s="2">
        <f t="shared" si="20"/>
        <v>38</v>
      </c>
      <c r="D37" s="2">
        <f t="shared" si="20"/>
        <v>28</v>
      </c>
      <c r="E37" s="2">
        <f t="shared" si="20"/>
        <v>0</v>
      </c>
      <c r="F37" s="2">
        <f t="shared" si="20"/>
        <v>0</v>
      </c>
      <c r="G37" s="2">
        <f t="shared" si="20"/>
        <v>32</v>
      </c>
      <c r="H37" s="2">
        <f t="shared" si="20"/>
        <v>0</v>
      </c>
      <c r="I37" s="2">
        <f t="shared" si="20"/>
        <v>15</v>
      </c>
      <c r="J37" s="2">
        <f t="shared" si="20"/>
        <v>9</v>
      </c>
      <c r="K37" s="18">
        <f t="shared" si="20"/>
        <v>0</v>
      </c>
      <c r="M37" s="1">
        <v>12</v>
      </c>
      <c r="N37" s="9">
        <f t="shared" si="9"/>
        <v>0</v>
      </c>
      <c r="O37" s="9">
        <f t="shared" si="10"/>
        <v>0</v>
      </c>
      <c r="P37" s="9">
        <f t="shared" si="11"/>
        <v>0</v>
      </c>
      <c r="Q37" s="9">
        <f t="shared" si="12"/>
        <v>0</v>
      </c>
      <c r="R37" s="15">
        <f t="shared" si="13"/>
        <v>0</v>
      </c>
      <c r="S37" s="15">
        <f t="shared" si="14"/>
        <v>0</v>
      </c>
      <c r="T37" s="15">
        <f t="shared" si="14"/>
        <v>0</v>
      </c>
      <c r="U37" s="15">
        <f t="shared" si="14"/>
        <v>0</v>
      </c>
      <c r="V37" s="15">
        <f t="shared" si="14"/>
        <v>0</v>
      </c>
      <c r="X37" s="10">
        <v>0</v>
      </c>
      <c r="Y37" s="10">
        <f t="shared" si="15"/>
        <v>0</v>
      </c>
      <c r="Z37" s="10">
        <f t="shared" si="16"/>
        <v>0</v>
      </c>
      <c r="AA37" s="10">
        <f t="shared" si="17"/>
        <v>0</v>
      </c>
      <c r="AB37" s="10">
        <f t="shared" si="18"/>
        <v>0</v>
      </c>
      <c r="AC37" s="10">
        <f t="shared" si="18"/>
        <v>0</v>
      </c>
      <c r="AD37" s="10">
        <f t="shared" si="18"/>
        <v>0</v>
      </c>
      <c r="AE37" s="10">
        <f t="shared" si="18"/>
        <v>0</v>
      </c>
      <c r="AF37" s="20">
        <v>0</v>
      </c>
      <c r="AG37" s="19"/>
      <c r="AH37" s="20">
        <f t="shared" si="19"/>
        <v>0</v>
      </c>
    </row>
    <row r="38" spans="2:34" x14ac:dyDescent="0.25">
      <c r="B38" s="8">
        <v>13</v>
      </c>
      <c r="C38" s="2">
        <f t="shared" si="20"/>
        <v>37</v>
      </c>
      <c r="D38" s="2">
        <f t="shared" si="20"/>
        <v>0</v>
      </c>
      <c r="E38" s="2">
        <f t="shared" si="20"/>
        <v>18</v>
      </c>
      <c r="F38" s="2">
        <f t="shared" si="20"/>
        <v>0</v>
      </c>
      <c r="G38" s="2">
        <f t="shared" si="20"/>
        <v>0</v>
      </c>
      <c r="H38" s="2">
        <f t="shared" si="20"/>
        <v>0</v>
      </c>
      <c r="I38" s="2">
        <f t="shared" si="20"/>
        <v>34</v>
      </c>
      <c r="J38" s="2">
        <f t="shared" si="20"/>
        <v>17</v>
      </c>
      <c r="K38" s="18">
        <f t="shared" si="20"/>
        <v>0</v>
      </c>
      <c r="M38" s="1">
        <v>13</v>
      </c>
      <c r="N38" s="9">
        <f t="shared" si="9"/>
        <v>0</v>
      </c>
      <c r="O38" s="9">
        <f t="shared" si="10"/>
        <v>0</v>
      </c>
      <c r="P38" s="9">
        <f t="shared" si="11"/>
        <v>0</v>
      </c>
      <c r="Q38" s="9">
        <f t="shared" si="12"/>
        <v>0</v>
      </c>
      <c r="R38" s="15">
        <f t="shared" si="13"/>
        <v>0</v>
      </c>
      <c r="S38" s="15">
        <f t="shared" si="14"/>
        <v>0</v>
      </c>
      <c r="T38" s="15">
        <f t="shared" si="14"/>
        <v>0</v>
      </c>
      <c r="U38" s="15">
        <f t="shared" si="14"/>
        <v>0</v>
      </c>
      <c r="V38" s="15">
        <f t="shared" si="14"/>
        <v>0</v>
      </c>
      <c r="X38" s="10">
        <v>0</v>
      </c>
      <c r="Y38" s="10">
        <f t="shared" si="15"/>
        <v>0</v>
      </c>
      <c r="Z38" s="10">
        <f t="shared" si="16"/>
        <v>0</v>
      </c>
      <c r="AA38" s="10">
        <f t="shared" si="17"/>
        <v>0</v>
      </c>
      <c r="AB38" s="10">
        <f t="shared" si="18"/>
        <v>0</v>
      </c>
      <c r="AC38" s="10">
        <f t="shared" si="18"/>
        <v>0</v>
      </c>
      <c r="AD38" s="10">
        <f t="shared" si="18"/>
        <v>0</v>
      </c>
      <c r="AE38" s="10">
        <f t="shared" si="18"/>
        <v>0</v>
      </c>
      <c r="AF38" s="20">
        <v>0</v>
      </c>
      <c r="AG38" s="19"/>
      <c r="AH38" s="20">
        <f t="shared" si="19"/>
        <v>0</v>
      </c>
    </row>
    <row r="39" spans="2:34" x14ac:dyDescent="0.25">
      <c r="B39" s="8">
        <v>14</v>
      </c>
      <c r="C39" s="2">
        <f t="shared" si="20"/>
        <v>0</v>
      </c>
      <c r="D39" s="2">
        <f t="shared" si="20"/>
        <v>20</v>
      </c>
      <c r="E39" s="2">
        <f t="shared" si="20"/>
        <v>4</v>
      </c>
      <c r="F39" s="2">
        <f t="shared" si="20"/>
        <v>0</v>
      </c>
      <c r="G39" s="2">
        <f t="shared" si="20"/>
        <v>1</v>
      </c>
      <c r="H39" s="2">
        <f t="shared" si="20"/>
        <v>0</v>
      </c>
      <c r="I39" s="2">
        <f t="shared" si="20"/>
        <v>26</v>
      </c>
      <c r="J39" s="2">
        <f t="shared" si="20"/>
        <v>0</v>
      </c>
      <c r="K39" s="18">
        <f t="shared" si="20"/>
        <v>0</v>
      </c>
      <c r="M39" s="1">
        <v>14</v>
      </c>
      <c r="N39" s="9">
        <f t="shared" si="9"/>
        <v>0</v>
      </c>
      <c r="O39" s="9">
        <f t="shared" si="10"/>
        <v>0</v>
      </c>
      <c r="P39" s="9">
        <f t="shared" si="11"/>
        <v>0</v>
      </c>
      <c r="Q39" s="9">
        <f t="shared" si="12"/>
        <v>0</v>
      </c>
      <c r="R39" s="15">
        <f t="shared" si="13"/>
        <v>0</v>
      </c>
      <c r="S39" s="15">
        <f t="shared" si="14"/>
        <v>0</v>
      </c>
      <c r="T39" s="15">
        <f t="shared" si="14"/>
        <v>0</v>
      </c>
      <c r="U39" s="15">
        <f t="shared" si="14"/>
        <v>0</v>
      </c>
      <c r="V39" s="15">
        <f t="shared" si="14"/>
        <v>0</v>
      </c>
      <c r="X39" s="10">
        <v>0</v>
      </c>
      <c r="Y39" s="10">
        <f t="shared" si="15"/>
        <v>0</v>
      </c>
      <c r="Z39" s="10">
        <f t="shared" si="16"/>
        <v>0</v>
      </c>
      <c r="AA39" s="10">
        <f t="shared" si="17"/>
        <v>0</v>
      </c>
      <c r="AB39" s="10">
        <f t="shared" si="18"/>
        <v>0</v>
      </c>
      <c r="AC39" s="10">
        <f t="shared" si="18"/>
        <v>0</v>
      </c>
      <c r="AD39" s="10">
        <f t="shared" si="18"/>
        <v>0</v>
      </c>
      <c r="AE39" s="10">
        <f t="shared" si="18"/>
        <v>0</v>
      </c>
      <c r="AF39" s="20">
        <v>0</v>
      </c>
      <c r="AG39" s="19"/>
      <c r="AH39" s="20">
        <f t="shared" si="19"/>
        <v>0</v>
      </c>
    </row>
    <row r="40" spans="2:34" x14ac:dyDescent="0.25">
      <c r="B40" s="8">
        <v>15</v>
      </c>
      <c r="C40" s="2">
        <f t="shared" si="20"/>
        <v>0</v>
      </c>
      <c r="D40" s="2">
        <f t="shared" si="20"/>
        <v>0</v>
      </c>
      <c r="E40" s="2">
        <f t="shared" si="20"/>
        <v>0</v>
      </c>
      <c r="F40" s="2">
        <f t="shared" si="20"/>
        <v>8</v>
      </c>
      <c r="G40" s="2">
        <f t="shared" si="20"/>
        <v>16</v>
      </c>
      <c r="H40" s="2">
        <f t="shared" si="20"/>
        <v>0</v>
      </c>
      <c r="I40" s="2">
        <f t="shared" si="20"/>
        <v>26</v>
      </c>
      <c r="J40" s="2">
        <f t="shared" si="20"/>
        <v>0</v>
      </c>
      <c r="K40" s="18">
        <f t="shared" si="20"/>
        <v>0</v>
      </c>
      <c r="M40" s="1">
        <v>15</v>
      </c>
      <c r="N40" s="9">
        <f t="shared" si="9"/>
        <v>0</v>
      </c>
      <c r="O40" s="9">
        <f t="shared" si="10"/>
        <v>0</v>
      </c>
      <c r="P40" s="9">
        <f t="shared" si="11"/>
        <v>0</v>
      </c>
      <c r="Q40" s="9">
        <f t="shared" si="12"/>
        <v>0</v>
      </c>
      <c r="R40" s="15">
        <f t="shared" si="13"/>
        <v>0</v>
      </c>
      <c r="S40" s="15">
        <f t="shared" si="14"/>
        <v>0</v>
      </c>
      <c r="T40" s="15">
        <f t="shared" si="14"/>
        <v>0</v>
      </c>
      <c r="U40" s="15">
        <f t="shared" si="14"/>
        <v>0</v>
      </c>
      <c r="V40" s="15">
        <f t="shared" si="14"/>
        <v>0</v>
      </c>
      <c r="X40" s="10">
        <v>0</v>
      </c>
      <c r="Y40" s="10">
        <f t="shared" si="15"/>
        <v>0</v>
      </c>
      <c r="Z40" s="10">
        <f t="shared" si="16"/>
        <v>0</v>
      </c>
      <c r="AA40" s="10">
        <f t="shared" si="17"/>
        <v>0</v>
      </c>
      <c r="AB40" s="10">
        <f t="shared" si="18"/>
        <v>0</v>
      </c>
      <c r="AC40" s="10">
        <f t="shared" si="18"/>
        <v>0</v>
      </c>
      <c r="AD40" s="10">
        <f t="shared" si="18"/>
        <v>0</v>
      </c>
      <c r="AE40" s="10">
        <f t="shared" si="18"/>
        <v>0</v>
      </c>
      <c r="AF40" s="20">
        <v>0</v>
      </c>
      <c r="AG40" s="19"/>
      <c r="AH40" s="20">
        <f t="shared" si="19"/>
        <v>0</v>
      </c>
    </row>
    <row r="41" spans="2:34" x14ac:dyDescent="0.25">
      <c r="B41" s="11">
        <v>16</v>
      </c>
      <c r="C41" s="5">
        <f t="shared" si="20"/>
        <v>38</v>
      </c>
      <c r="D41" s="5">
        <f t="shared" si="20"/>
        <v>28</v>
      </c>
      <c r="E41" s="5">
        <f t="shared" si="20"/>
        <v>0</v>
      </c>
      <c r="F41" s="5">
        <f t="shared" si="20"/>
        <v>39</v>
      </c>
      <c r="G41" s="5">
        <f t="shared" si="20"/>
        <v>0</v>
      </c>
      <c r="H41" s="5">
        <f t="shared" si="20"/>
        <v>0</v>
      </c>
      <c r="I41" s="5">
        <f t="shared" si="20"/>
        <v>0</v>
      </c>
      <c r="J41" s="5">
        <f t="shared" si="20"/>
        <v>30</v>
      </c>
      <c r="K41" s="13">
        <f t="shared" si="20"/>
        <v>0</v>
      </c>
      <c r="M41" s="1">
        <v>16</v>
      </c>
      <c r="N41" s="16">
        <f t="shared" si="9"/>
        <v>0</v>
      </c>
      <c r="O41" s="16">
        <f t="shared" si="10"/>
        <v>0</v>
      </c>
      <c r="P41" s="16">
        <f t="shared" si="11"/>
        <v>0</v>
      </c>
      <c r="Q41" s="16">
        <f t="shared" si="12"/>
        <v>0</v>
      </c>
      <c r="R41" s="17">
        <f t="shared" si="13"/>
        <v>0</v>
      </c>
      <c r="S41" s="17">
        <f t="shared" si="14"/>
        <v>0</v>
      </c>
      <c r="T41" s="17">
        <f t="shared" si="14"/>
        <v>0</v>
      </c>
      <c r="U41" s="17">
        <f t="shared" si="14"/>
        <v>0</v>
      </c>
      <c r="V41" s="17">
        <f t="shared" si="14"/>
        <v>0</v>
      </c>
      <c r="X41" s="22">
        <v>0</v>
      </c>
      <c r="Y41" s="22">
        <f t="shared" si="15"/>
        <v>0</v>
      </c>
      <c r="Z41" s="22">
        <f t="shared" si="16"/>
        <v>0</v>
      </c>
      <c r="AA41" s="22">
        <f t="shared" si="17"/>
        <v>0</v>
      </c>
      <c r="AB41" s="22">
        <f t="shared" si="18"/>
        <v>0</v>
      </c>
      <c r="AC41" s="22">
        <f t="shared" si="18"/>
        <v>0</v>
      </c>
      <c r="AD41" s="22">
        <f t="shared" si="18"/>
        <v>0</v>
      </c>
      <c r="AE41" s="22">
        <f t="shared" si="18"/>
        <v>0</v>
      </c>
      <c r="AF41" s="21">
        <v>0</v>
      </c>
      <c r="AG41" s="19"/>
      <c r="AH41" s="20">
        <f t="shared" si="19"/>
        <v>0</v>
      </c>
    </row>
    <row r="42" spans="2:34" x14ac:dyDescent="0.25">
      <c r="B42" s="11">
        <v>17</v>
      </c>
      <c r="C42" s="5">
        <f t="shared" si="20"/>
        <v>0</v>
      </c>
      <c r="D42" s="5">
        <f t="shared" si="20"/>
        <v>0</v>
      </c>
      <c r="E42" s="5">
        <f t="shared" si="20"/>
        <v>0</v>
      </c>
      <c r="F42" s="5">
        <f t="shared" si="20"/>
        <v>40</v>
      </c>
      <c r="G42" s="5">
        <f t="shared" si="20"/>
        <v>0</v>
      </c>
      <c r="H42" s="5">
        <f t="shared" si="20"/>
        <v>14</v>
      </c>
      <c r="I42" s="5">
        <f t="shared" si="20"/>
        <v>0</v>
      </c>
      <c r="J42" s="5">
        <f t="shared" si="20"/>
        <v>5</v>
      </c>
      <c r="K42" s="13">
        <f t="shared" si="20"/>
        <v>0</v>
      </c>
      <c r="M42" s="1">
        <v>17</v>
      </c>
      <c r="N42" s="16">
        <f t="shared" ref="N42:N75" si="21">IF(C42="Clash",1,0)</f>
        <v>0</v>
      </c>
      <c r="O42" s="16">
        <f t="shared" ref="O42:O75" si="22">IF(D42="Clash",1,0)</f>
        <v>0</v>
      </c>
      <c r="P42" s="16">
        <f t="shared" ref="P42:P75" si="23">IF(E42="Clash",1,0)</f>
        <v>0</v>
      </c>
      <c r="Q42" s="16">
        <f t="shared" ref="Q42:Q75" si="24">IF(F42="Clash",1,0)</f>
        <v>0</v>
      </c>
      <c r="R42" s="17">
        <f t="shared" ref="R42:R75" si="25">IF(G42="Clash",1,0)</f>
        <v>0</v>
      </c>
      <c r="S42" s="17">
        <f t="shared" ref="S42:S75" si="26">IF(H42="Clash",1,0)</f>
        <v>0</v>
      </c>
      <c r="T42" s="17">
        <f t="shared" ref="T42:T75" si="27">IF(I42="Clash",1,0)</f>
        <v>0</v>
      </c>
      <c r="U42" s="17">
        <f t="shared" ref="U42:U75" si="28">IF(J42="Clash",1,0)</f>
        <v>0</v>
      </c>
      <c r="V42" s="17">
        <f t="shared" ref="V42:V75" si="29">IF(K42="Clash",1,0)</f>
        <v>0</v>
      </c>
      <c r="X42" s="22">
        <v>0</v>
      </c>
      <c r="Y42" s="22">
        <f t="shared" ref="Y42:Y75" si="30">IF(AND(C42&gt;0,D42&gt;0,E42&gt;0),1,0)</f>
        <v>0</v>
      </c>
      <c r="Z42" s="22">
        <f t="shared" ref="Z42:Z75" si="31">IF(AND(D42&gt;0,E42&gt;0,F42&gt;0),1,0)</f>
        <v>0</v>
      </c>
      <c r="AA42" s="22">
        <f t="shared" ref="AA42:AA75" si="32">IF(AND(E42&gt;0,F42&gt;0,G42&gt;0),1,0)</f>
        <v>0</v>
      </c>
      <c r="AB42" s="22">
        <f t="shared" ref="AB42:AB75" si="33">IF(AND(F42&gt;0,G42&gt;0,H42&gt;0),1,0)</f>
        <v>0</v>
      </c>
      <c r="AC42" s="22">
        <f t="shared" ref="AC42:AC75" si="34">IF(AND(G42&gt;0,H42&gt;0,I42&gt;0),1,0)</f>
        <v>0</v>
      </c>
      <c r="AD42" s="22">
        <f t="shared" ref="AD42:AD75" si="35">IF(AND(H42&gt;0,I42&gt;0,J42&gt;0),1,0)</f>
        <v>0</v>
      </c>
      <c r="AE42" s="22">
        <f t="shared" ref="AE42:AE75" si="36">IF(AND(I42&gt;0,J42&gt;0,K42&gt;0),1,0)</f>
        <v>0</v>
      </c>
      <c r="AF42" s="21">
        <v>0</v>
      </c>
      <c r="AG42" s="19"/>
      <c r="AH42" s="20">
        <f t="shared" ref="AH42:AH75" si="37">IF(K42&lt;&gt;0,1,0)</f>
        <v>0</v>
      </c>
    </row>
    <row r="43" spans="2:34" x14ac:dyDescent="0.25">
      <c r="B43" s="11">
        <v>18</v>
      </c>
      <c r="C43" s="5">
        <f t="shared" si="20"/>
        <v>3</v>
      </c>
      <c r="D43" s="5">
        <f t="shared" si="20"/>
        <v>35</v>
      </c>
      <c r="E43" s="5">
        <f t="shared" si="20"/>
        <v>0</v>
      </c>
      <c r="F43" s="5">
        <f t="shared" si="20"/>
        <v>0</v>
      </c>
      <c r="G43" s="5">
        <f t="shared" si="20"/>
        <v>0</v>
      </c>
      <c r="H43" s="5">
        <f t="shared" si="20"/>
        <v>0</v>
      </c>
      <c r="I43" s="5">
        <f t="shared" si="20"/>
        <v>26</v>
      </c>
      <c r="J43" s="5">
        <f t="shared" si="20"/>
        <v>0</v>
      </c>
      <c r="K43" s="13">
        <f t="shared" si="20"/>
        <v>0</v>
      </c>
      <c r="M43" s="1">
        <v>18</v>
      </c>
      <c r="N43" s="16">
        <f t="shared" si="21"/>
        <v>0</v>
      </c>
      <c r="O43" s="16">
        <f t="shared" si="22"/>
        <v>0</v>
      </c>
      <c r="P43" s="16">
        <f t="shared" si="23"/>
        <v>0</v>
      </c>
      <c r="Q43" s="16">
        <f t="shared" si="24"/>
        <v>0</v>
      </c>
      <c r="R43" s="17">
        <f t="shared" si="25"/>
        <v>0</v>
      </c>
      <c r="S43" s="17">
        <f t="shared" si="26"/>
        <v>0</v>
      </c>
      <c r="T43" s="17">
        <f t="shared" si="27"/>
        <v>0</v>
      </c>
      <c r="U43" s="17">
        <f t="shared" si="28"/>
        <v>0</v>
      </c>
      <c r="V43" s="17">
        <f t="shared" si="29"/>
        <v>0</v>
      </c>
      <c r="X43" s="22">
        <v>0</v>
      </c>
      <c r="Y43" s="22">
        <f t="shared" si="30"/>
        <v>0</v>
      </c>
      <c r="Z43" s="22">
        <f t="shared" si="31"/>
        <v>0</v>
      </c>
      <c r="AA43" s="22">
        <f t="shared" si="32"/>
        <v>0</v>
      </c>
      <c r="AB43" s="22">
        <f t="shared" si="33"/>
        <v>0</v>
      </c>
      <c r="AC43" s="22">
        <f t="shared" si="34"/>
        <v>0</v>
      </c>
      <c r="AD43" s="22">
        <f t="shared" si="35"/>
        <v>0</v>
      </c>
      <c r="AE43" s="22">
        <f t="shared" si="36"/>
        <v>0</v>
      </c>
      <c r="AF43" s="21">
        <v>0</v>
      </c>
      <c r="AG43" s="19"/>
      <c r="AH43" s="20">
        <f t="shared" si="37"/>
        <v>0</v>
      </c>
    </row>
    <row r="44" spans="2:34" x14ac:dyDescent="0.25">
      <c r="B44" s="11">
        <v>19</v>
      </c>
      <c r="C44" s="5">
        <f t="shared" si="20"/>
        <v>19</v>
      </c>
      <c r="D44" s="5">
        <f t="shared" si="20"/>
        <v>0</v>
      </c>
      <c r="E44" s="5">
        <f t="shared" si="20"/>
        <v>0</v>
      </c>
      <c r="F44" s="5">
        <f t="shared" si="20"/>
        <v>13</v>
      </c>
      <c r="G44" s="5">
        <f t="shared" si="20"/>
        <v>0</v>
      </c>
      <c r="H44" s="5">
        <f t="shared" si="20"/>
        <v>0</v>
      </c>
      <c r="I44" s="5">
        <f t="shared" si="20"/>
        <v>24</v>
      </c>
      <c r="J44" s="5">
        <f t="shared" si="20"/>
        <v>11</v>
      </c>
      <c r="K44" s="13">
        <f t="shared" si="20"/>
        <v>0</v>
      </c>
      <c r="M44" s="1">
        <v>19</v>
      </c>
      <c r="N44" s="16">
        <f t="shared" si="21"/>
        <v>0</v>
      </c>
      <c r="O44" s="16">
        <f t="shared" si="22"/>
        <v>0</v>
      </c>
      <c r="P44" s="16">
        <f t="shared" si="23"/>
        <v>0</v>
      </c>
      <c r="Q44" s="16">
        <f t="shared" si="24"/>
        <v>0</v>
      </c>
      <c r="R44" s="17">
        <f t="shared" si="25"/>
        <v>0</v>
      </c>
      <c r="S44" s="17">
        <f t="shared" si="26"/>
        <v>0</v>
      </c>
      <c r="T44" s="17">
        <f t="shared" si="27"/>
        <v>0</v>
      </c>
      <c r="U44" s="17">
        <f t="shared" si="28"/>
        <v>0</v>
      </c>
      <c r="V44" s="17">
        <f t="shared" si="29"/>
        <v>0</v>
      </c>
      <c r="X44" s="22">
        <v>0</v>
      </c>
      <c r="Y44" s="22">
        <f t="shared" si="30"/>
        <v>0</v>
      </c>
      <c r="Z44" s="22">
        <f t="shared" si="31"/>
        <v>0</v>
      </c>
      <c r="AA44" s="22">
        <f t="shared" si="32"/>
        <v>0</v>
      </c>
      <c r="AB44" s="22">
        <f t="shared" si="33"/>
        <v>0</v>
      </c>
      <c r="AC44" s="22">
        <f t="shared" si="34"/>
        <v>0</v>
      </c>
      <c r="AD44" s="22">
        <f t="shared" si="35"/>
        <v>0</v>
      </c>
      <c r="AE44" s="22">
        <f t="shared" si="36"/>
        <v>0</v>
      </c>
      <c r="AF44" s="21">
        <v>0</v>
      </c>
      <c r="AG44" s="19"/>
      <c r="AH44" s="20">
        <f t="shared" si="37"/>
        <v>0</v>
      </c>
    </row>
    <row r="45" spans="2:34" x14ac:dyDescent="0.25">
      <c r="B45" s="11">
        <v>20</v>
      </c>
      <c r="C45" s="5">
        <f t="shared" si="20"/>
        <v>3</v>
      </c>
      <c r="D45" s="5">
        <f t="shared" si="20"/>
        <v>20</v>
      </c>
      <c r="E45" s="5">
        <f t="shared" si="20"/>
        <v>0</v>
      </c>
      <c r="F45" s="5">
        <f t="shared" si="20"/>
        <v>13</v>
      </c>
      <c r="G45" s="5">
        <f t="shared" si="20"/>
        <v>0</v>
      </c>
      <c r="H45" s="5">
        <f t="shared" si="20"/>
        <v>0</v>
      </c>
      <c r="I45" s="5">
        <f t="shared" si="20"/>
        <v>0</v>
      </c>
      <c r="J45" s="5">
        <f t="shared" si="20"/>
        <v>17</v>
      </c>
      <c r="K45" s="13">
        <f t="shared" si="20"/>
        <v>0</v>
      </c>
      <c r="M45" s="1">
        <v>20</v>
      </c>
      <c r="N45" s="16">
        <f t="shared" si="21"/>
        <v>0</v>
      </c>
      <c r="O45" s="16">
        <f t="shared" si="22"/>
        <v>0</v>
      </c>
      <c r="P45" s="16">
        <f t="shared" si="23"/>
        <v>0</v>
      </c>
      <c r="Q45" s="16">
        <f t="shared" si="24"/>
        <v>0</v>
      </c>
      <c r="R45" s="17">
        <f t="shared" si="25"/>
        <v>0</v>
      </c>
      <c r="S45" s="17">
        <f t="shared" si="26"/>
        <v>0</v>
      </c>
      <c r="T45" s="17">
        <f t="shared" si="27"/>
        <v>0</v>
      </c>
      <c r="U45" s="17">
        <f t="shared" si="28"/>
        <v>0</v>
      </c>
      <c r="V45" s="17">
        <f t="shared" si="29"/>
        <v>0</v>
      </c>
      <c r="X45" s="22">
        <v>0</v>
      </c>
      <c r="Y45" s="22">
        <f t="shared" si="30"/>
        <v>0</v>
      </c>
      <c r="Z45" s="22">
        <f t="shared" si="31"/>
        <v>0</v>
      </c>
      <c r="AA45" s="22">
        <f t="shared" si="32"/>
        <v>0</v>
      </c>
      <c r="AB45" s="22">
        <f t="shared" si="33"/>
        <v>0</v>
      </c>
      <c r="AC45" s="22">
        <f t="shared" si="34"/>
        <v>0</v>
      </c>
      <c r="AD45" s="22">
        <f t="shared" si="35"/>
        <v>0</v>
      </c>
      <c r="AE45" s="22">
        <f t="shared" si="36"/>
        <v>0</v>
      </c>
      <c r="AF45" s="21">
        <v>0</v>
      </c>
      <c r="AG45" s="19"/>
      <c r="AH45" s="20">
        <f t="shared" si="37"/>
        <v>0</v>
      </c>
    </row>
    <row r="46" spans="2:34" x14ac:dyDescent="0.25">
      <c r="B46" s="11">
        <v>21</v>
      </c>
      <c r="C46" s="5">
        <f t="shared" ref="C46:K55" si="38">IF(studentClash(C$5:C$10,problem,$B46)&lt;0,"clash",studentClash(C$5:C$10,problem,$B46))</f>
        <v>3</v>
      </c>
      <c r="D46" s="5">
        <f t="shared" si="38"/>
        <v>0</v>
      </c>
      <c r="E46" s="5">
        <f t="shared" si="38"/>
        <v>18</v>
      </c>
      <c r="F46" s="5">
        <f t="shared" si="38"/>
        <v>40</v>
      </c>
      <c r="G46" s="5">
        <f t="shared" si="38"/>
        <v>0</v>
      </c>
      <c r="H46" s="5">
        <f t="shared" si="38"/>
        <v>0</v>
      </c>
      <c r="I46" s="5">
        <f t="shared" si="38"/>
        <v>0</v>
      </c>
      <c r="J46" s="5">
        <f t="shared" si="38"/>
        <v>17</v>
      </c>
      <c r="K46" s="13">
        <f t="shared" si="38"/>
        <v>0</v>
      </c>
      <c r="M46" s="1">
        <v>21</v>
      </c>
      <c r="N46" s="16">
        <f t="shared" si="21"/>
        <v>0</v>
      </c>
      <c r="O46" s="16">
        <f t="shared" si="22"/>
        <v>0</v>
      </c>
      <c r="P46" s="16">
        <f t="shared" si="23"/>
        <v>0</v>
      </c>
      <c r="Q46" s="16">
        <f t="shared" si="24"/>
        <v>0</v>
      </c>
      <c r="R46" s="17">
        <f t="shared" si="25"/>
        <v>0</v>
      </c>
      <c r="S46" s="17">
        <f t="shared" si="26"/>
        <v>0</v>
      </c>
      <c r="T46" s="17">
        <f t="shared" si="27"/>
        <v>0</v>
      </c>
      <c r="U46" s="17">
        <f t="shared" si="28"/>
        <v>0</v>
      </c>
      <c r="V46" s="17">
        <f t="shared" si="29"/>
        <v>0</v>
      </c>
      <c r="X46" s="22">
        <v>0</v>
      </c>
      <c r="Y46" s="22">
        <f t="shared" si="30"/>
        <v>0</v>
      </c>
      <c r="Z46" s="22">
        <f t="shared" si="31"/>
        <v>0</v>
      </c>
      <c r="AA46" s="22">
        <f t="shared" si="32"/>
        <v>0</v>
      </c>
      <c r="AB46" s="22">
        <f t="shared" si="33"/>
        <v>0</v>
      </c>
      <c r="AC46" s="22">
        <f t="shared" si="34"/>
        <v>0</v>
      </c>
      <c r="AD46" s="22">
        <f t="shared" si="35"/>
        <v>0</v>
      </c>
      <c r="AE46" s="22">
        <f t="shared" si="36"/>
        <v>0</v>
      </c>
      <c r="AF46" s="21">
        <v>0</v>
      </c>
      <c r="AG46" s="19"/>
      <c r="AH46" s="20">
        <f t="shared" si="37"/>
        <v>0</v>
      </c>
    </row>
    <row r="47" spans="2:34" x14ac:dyDescent="0.25">
      <c r="B47" s="11">
        <v>22</v>
      </c>
      <c r="C47" s="5">
        <f t="shared" si="38"/>
        <v>0</v>
      </c>
      <c r="D47" s="5">
        <f t="shared" si="38"/>
        <v>0</v>
      </c>
      <c r="E47" s="5">
        <f t="shared" si="38"/>
        <v>0</v>
      </c>
      <c r="F47" s="5">
        <f t="shared" si="38"/>
        <v>25</v>
      </c>
      <c r="G47" s="5">
        <f t="shared" si="38"/>
        <v>16</v>
      </c>
      <c r="H47" s="5">
        <f t="shared" si="38"/>
        <v>0</v>
      </c>
      <c r="I47" s="5">
        <f t="shared" si="38"/>
        <v>0</v>
      </c>
      <c r="J47" s="5">
        <f t="shared" si="38"/>
        <v>0</v>
      </c>
      <c r="K47" s="13">
        <f t="shared" si="38"/>
        <v>36</v>
      </c>
      <c r="M47" s="1">
        <v>22</v>
      </c>
      <c r="N47" s="16">
        <f t="shared" si="21"/>
        <v>0</v>
      </c>
      <c r="O47" s="16">
        <f t="shared" si="22"/>
        <v>0</v>
      </c>
      <c r="P47" s="16">
        <f t="shared" si="23"/>
        <v>0</v>
      </c>
      <c r="Q47" s="16">
        <f t="shared" si="24"/>
        <v>0</v>
      </c>
      <c r="R47" s="17">
        <f t="shared" si="25"/>
        <v>0</v>
      </c>
      <c r="S47" s="17">
        <f t="shared" si="26"/>
        <v>0</v>
      </c>
      <c r="T47" s="17">
        <f t="shared" si="27"/>
        <v>0</v>
      </c>
      <c r="U47" s="17">
        <f t="shared" si="28"/>
        <v>0</v>
      </c>
      <c r="V47" s="17">
        <f t="shared" si="29"/>
        <v>0</v>
      </c>
      <c r="X47" s="22">
        <v>0</v>
      </c>
      <c r="Y47" s="22">
        <f t="shared" si="30"/>
        <v>0</v>
      </c>
      <c r="Z47" s="22">
        <f t="shared" si="31"/>
        <v>0</v>
      </c>
      <c r="AA47" s="22">
        <f t="shared" si="32"/>
        <v>0</v>
      </c>
      <c r="AB47" s="22">
        <f t="shared" si="33"/>
        <v>0</v>
      </c>
      <c r="AC47" s="22">
        <f t="shared" si="34"/>
        <v>0</v>
      </c>
      <c r="AD47" s="22">
        <f t="shared" si="35"/>
        <v>0</v>
      </c>
      <c r="AE47" s="22">
        <f t="shared" si="36"/>
        <v>0</v>
      </c>
      <c r="AF47" s="21">
        <v>0</v>
      </c>
      <c r="AG47" s="19"/>
      <c r="AH47" s="20">
        <f t="shared" si="37"/>
        <v>1</v>
      </c>
    </row>
    <row r="48" spans="2:34" x14ac:dyDescent="0.25">
      <c r="B48" s="11">
        <v>23</v>
      </c>
      <c r="C48" s="5">
        <f t="shared" si="38"/>
        <v>10</v>
      </c>
      <c r="D48" s="5">
        <f t="shared" si="38"/>
        <v>0</v>
      </c>
      <c r="E48" s="5">
        <f t="shared" si="38"/>
        <v>0</v>
      </c>
      <c r="F48" s="5">
        <f t="shared" si="38"/>
        <v>0</v>
      </c>
      <c r="G48" s="5">
        <f t="shared" si="38"/>
        <v>0</v>
      </c>
      <c r="H48" s="5">
        <f t="shared" si="38"/>
        <v>0</v>
      </c>
      <c r="I48" s="5">
        <f t="shared" si="38"/>
        <v>21</v>
      </c>
      <c r="J48" s="5">
        <f t="shared" si="38"/>
        <v>5</v>
      </c>
      <c r="K48" s="13">
        <f t="shared" si="38"/>
        <v>0</v>
      </c>
      <c r="M48" s="1">
        <v>23</v>
      </c>
      <c r="N48" s="16">
        <f t="shared" si="21"/>
        <v>0</v>
      </c>
      <c r="O48" s="16">
        <f t="shared" si="22"/>
        <v>0</v>
      </c>
      <c r="P48" s="16">
        <f t="shared" si="23"/>
        <v>0</v>
      </c>
      <c r="Q48" s="16">
        <f t="shared" si="24"/>
        <v>0</v>
      </c>
      <c r="R48" s="17">
        <f t="shared" si="25"/>
        <v>0</v>
      </c>
      <c r="S48" s="17">
        <f t="shared" si="26"/>
        <v>0</v>
      </c>
      <c r="T48" s="17">
        <f t="shared" si="27"/>
        <v>0</v>
      </c>
      <c r="U48" s="17">
        <f t="shared" si="28"/>
        <v>0</v>
      </c>
      <c r="V48" s="17">
        <f t="shared" si="29"/>
        <v>0</v>
      </c>
      <c r="X48" s="22">
        <v>0</v>
      </c>
      <c r="Y48" s="22">
        <f t="shared" si="30"/>
        <v>0</v>
      </c>
      <c r="Z48" s="22">
        <f t="shared" si="31"/>
        <v>0</v>
      </c>
      <c r="AA48" s="22">
        <f t="shared" si="32"/>
        <v>0</v>
      </c>
      <c r="AB48" s="22">
        <f t="shared" si="33"/>
        <v>0</v>
      </c>
      <c r="AC48" s="22">
        <f t="shared" si="34"/>
        <v>0</v>
      </c>
      <c r="AD48" s="22">
        <f t="shared" si="35"/>
        <v>0</v>
      </c>
      <c r="AE48" s="22">
        <f t="shared" si="36"/>
        <v>0</v>
      </c>
      <c r="AF48" s="21">
        <v>0</v>
      </c>
      <c r="AG48" s="19"/>
      <c r="AH48" s="20">
        <f t="shared" si="37"/>
        <v>0</v>
      </c>
    </row>
    <row r="49" spans="2:34" x14ac:dyDescent="0.25">
      <c r="B49" s="11">
        <v>24</v>
      </c>
      <c r="C49" s="5">
        <f t="shared" si="38"/>
        <v>37</v>
      </c>
      <c r="D49" s="5">
        <f t="shared" si="38"/>
        <v>35</v>
      </c>
      <c r="E49" s="5">
        <f t="shared" si="38"/>
        <v>0</v>
      </c>
      <c r="F49" s="5">
        <f t="shared" si="38"/>
        <v>8</v>
      </c>
      <c r="G49" s="5">
        <f t="shared" si="38"/>
        <v>0</v>
      </c>
      <c r="H49" s="5">
        <f t="shared" si="38"/>
        <v>0</v>
      </c>
      <c r="I49" s="5">
        <f t="shared" si="38"/>
        <v>21</v>
      </c>
      <c r="J49" s="5">
        <f t="shared" si="38"/>
        <v>0</v>
      </c>
      <c r="K49" s="13">
        <f t="shared" si="38"/>
        <v>0</v>
      </c>
      <c r="M49" s="1">
        <v>24</v>
      </c>
      <c r="N49" s="16">
        <f t="shared" si="21"/>
        <v>0</v>
      </c>
      <c r="O49" s="16">
        <f t="shared" si="22"/>
        <v>0</v>
      </c>
      <c r="P49" s="16">
        <f t="shared" si="23"/>
        <v>0</v>
      </c>
      <c r="Q49" s="16">
        <f t="shared" si="24"/>
        <v>0</v>
      </c>
      <c r="R49" s="17">
        <f t="shared" si="25"/>
        <v>0</v>
      </c>
      <c r="S49" s="17">
        <f t="shared" si="26"/>
        <v>0</v>
      </c>
      <c r="T49" s="17">
        <f t="shared" si="27"/>
        <v>0</v>
      </c>
      <c r="U49" s="17">
        <f t="shared" si="28"/>
        <v>0</v>
      </c>
      <c r="V49" s="17">
        <f t="shared" si="29"/>
        <v>0</v>
      </c>
      <c r="X49" s="22">
        <v>0</v>
      </c>
      <c r="Y49" s="22">
        <f t="shared" si="30"/>
        <v>0</v>
      </c>
      <c r="Z49" s="22">
        <f t="shared" si="31"/>
        <v>0</v>
      </c>
      <c r="AA49" s="22">
        <f t="shared" si="32"/>
        <v>0</v>
      </c>
      <c r="AB49" s="22">
        <f t="shared" si="33"/>
        <v>0</v>
      </c>
      <c r="AC49" s="22">
        <f t="shared" si="34"/>
        <v>0</v>
      </c>
      <c r="AD49" s="22">
        <f t="shared" si="35"/>
        <v>0</v>
      </c>
      <c r="AE49" s="22">
        <f t="shared" si="36"/>
        <v>0</v>
      </c>
      <c r="AF49" s="21">
        <v>0</v>
      </c>
      <c r="AG49" s="19"/>
      <c r="AH49" s="20">
        <f t="shared" si="37"/>
        <v>0</v>
      </c>
    </row>
    <row r="50" spans="2:34" x14ac:dyDescent="0.25">
      <c r="B50" s="11">
        <v>25</v>
      </c>
      <c r="C50" s="5">
        <f t="shared" si="38"/>
        <v>3</v>
      </c>
      <c r="D50" s="5">
        <f t="shared" si="38"/>
        <v>0</v>
      </c>
      <c r="E50" s="5">
        <f t="shared" si="38"/>
        <v>0</v>
      </c>
      <c r="F50" s="5">
        <f t="shared" si="38"/>
        <v>0</v>
      </c>
      <c r="G50" s="5">
        <f t="shared" si="38"/>
        <v>1</v>
      </c>
      <c r="H50" s="5">
        <f t="shared" si="38"/>
        <v>14</v>
      </c>
      <c r="I50" s="5">
        <f t="shared" si="38"/>
        <v>0</v>
      </c>
      <c r="J50" s="5">
        <f t="shared" si="38"/>
        <v>0</v>
      </c>
      <c r="K50" s="13">
        <f t="shared" si="38"/>
        <v>0</v>
      </c>
      <c r="M50" s="1">
        <v>25</v>
      </c>
      <c r="N50" s="16">
        <f t="shared" si="21"/>
        <v>0</v>
      </c>
      <c r="O50" s="16">
        <f t="shared" si="22"/>
        <v>0</v>
      </c>
      <c r="P50" s="16">
        <f t="shared" si="23"/>
        <v>0</v>
      </c>
      <c r="Q50" s="16">
        <f t="shared" si="24"/>
        <v>0</v>
      </c>
      <c r="R50" s="17">
        <f t="shared" si="25"/>
        <v>0</v>
      </c>
      <c r="S50" s="17">
        <f t="shared" si="26"/>
        <v>0</v>
      </c>
      <c r="T50" s="17">
        <f t="shared" si="27"/>
        <v>0</v>
      </c>
      <c r="U50" s="17">
        <f t="shared" si="28"/>
        <v>0</v>
      </c>
      <c r="V50" s="17">
        <f t="shared" si="29"/>
        <v>0</v>
      </c>
      <c r="X50" s="22">
        <v>0</v>
      </c>
      <c r="Y50" s="22">
        <f t="shared" si="30"/>
        <v>0</v>
      </c>
      <c r="Z50" s="22">
        <f t="shared" si="31"/>
        <v>0</v>
      </c>
      <c r="AA50" s="22">
        <f t="shared" si="32"/>
        <v>0</v>
      </c>
      <c r="AB50" s="22">
        <f t="shared" si="33"/>
        <v>0</v>
      </c>
      <c r="AC50" s="22">
        <f t="shared" si="34"/>
        <v>0</v>
      </c>
      <c r="AD50" s="22">
        <f t="shared" si="35"/>
        <v>0</v>
      </c>
      <c r="AE50" s="22">
        <f t="shared" si="36"/>
        <v>0</v>
      </c>
      <c r="AF50" s="21">
        <v>0</v>
      </c>
      <c r="AG50" s="19"/>
      <c r="AH50" s="20">
        <f t="shared" si="37"/>
        <v>0</v>
      </c>
    </row>
    <row r="51" spans="2:34" x14ac:dyDescent="0.25">
      <c r="B51" s="11">
        <v>26</v>
      </c>
      <c r="C51" s="5">
        <f t="shared" si="38"/>
        <v>0</v>
      </c>
      <c r="D51" s="5">
        <f t="shared" si="38"/>
        <v>0</v>
      </c>
      <c r="E51" s="5">
        <f t="shared" si="38"/>
        <v>0</v>
      </c>
      <c r="F51" s="5">
        <f t="shared" si="38"/>
        <v>13</v>
      </c>
      <c r="G51" s="5">
        <f t="shared" si="38"/>
        <v>23</v>
      </c>
      <c r="H51" s="5">
        <f t="shared" si="38"/>
        <v>0</v>
      </c>
      <c r="I51" s="5">
        <f t="shared" si="38"/>
        <v>0</v>
      </c>
      <c r="J51" s="5">
        <f t="shared" si="38"/>
        <v>9</v>
      </c>
      <c r="K51" s="13">
        <f t="shared" si="38"/>
        <v>0</v>
      </c>
      <c r="M51" s="1">
        <v>26</v>
      </c>
      <c r="N51" s="16">
        <f t="shared" si="21"/>
        <v>0</v>
      </c>
      <c r="O51" s="16">
        <f t="shared" si="22"/>
        <v>0</v>
      </c>
      <c r="P51" s="16">
        <f t="shared" si="23"/>
        <v>0</v>
      </c>
      <c r="Q51" s="16">
        <f t="shared" si="24"/>
        <v>0</v>
      </c>
      <c r="R51" s="17">
        <f t="shared" si="25"/>
        <v>0</v>
      </c>
      <c r="S51" s="17">
        <f t="shared" si="26"/>
        <v>0</v>
      </c>
      <c r="T51" s="17">
        <f t="shared" si="27"/>
        <v>0</v>
      </c>
      <c r="U51" s="17">
        <f t="shared" si="28"/>
        <v>0</v>
      </c>
      <c r="V51" s="17">
        <f t="shared" si="29"/>
        <v>0</v>
      </c>
      <c r="X51" s="22">
        <v>0</v>
      </c>
      <c r="Y51" s="22">
        <f t="shared" si="30"/>
        <v>0</v>
      </c>
      <c r="Z51" s="22">
        <f t="shared" si="31"/>
        <v>0</v>
      </c>
      <c r="AA51" s="22">
        <f t="shared" si="32"/>
        <v>0</v>
      </c>
      <c r="AB51" s="22">
        <f t="shared" si="33"/>
        <v>0</v>
      </c>
      <c r="AC51" s="22">
        <f t="shared" si="34"/>
        <v>0</v>
      </c>
      <c r="AD51" s="22">
        <f t="shared" si="35"/>
        <v>0</v>
      </c>
      <c r="AE51" s="22">
        <f t="shared" si="36"/>
        <v>0</v>
      </c>
      <c r="AF51" s="21">
        <v>0</v>
      </c>
      <c r="AG51" s="19"/>
      <c r="AH51" s="20">
        <f t="shared" si="37"/>
        <v>0</v>
      </c>
    </row>
    <row r="52" spans="2:34" x14ac:dyDescent="0.25">
      <c r="B52" s="11">
        <v>27</v>
      </c>
      <c r="C52" s="5">
        <f t="shared" si="38"/>
        <v>0</v>
      </c>
      <c r="D52" s="5">
        <f t="shared" si="38"/>
        <v>0</v>
      </c>
      <c r="E52" s="5">
        <f t="shared" si="38"/>
        <v>27</v>
      </c>
      <c r="F52" s="5">
        <f t="shared" si="38"/>
        <v>31</v>
      </c>
      <c r="G52" s="5">
        <f t="shared" si="38"/>
        <v>0</v>
      </c>
      <c r="H52" s="5">
        <f t="shared" si="38"/>
        <v>0</v>
      </c>
      <c r="I52" s="5">
        <f t="shared" si="38"/>
        <v>34</v>
      </c>
      <c r="J52" s="5">
        <f t="shared" si="38"/>
        <v>9</v>
      </c>
      <c r="K52" s="13">
        <f t="shared" si="38"/>
        <v>0</v>
      </c>
      <c r="M52" s="1">
        <v>27</v>
      </c>
      <c r="N52" s="16">
        <f t="shared" si="21"/>
        <v>0</v>
      </c>
      <c r="O52" s="16">
        <f t="shared" si="22"/>
        <v>0</v>
      </c>
      <c r="P52" s="16">
        <f t="shared" si="23"/>
        <v>0</v>
      </c>
      <c r="Q52" s="16">
        <f t="shared" si="24"/>
        <v>0</v>
      </c>
      <c r="R52" s="17">
        <f t="shared" si="25"/>
        <v>0</v>
      </c>
      <c r="S52" s="17">
        <f t="shared" si="26"/>
        <v>0</v>
      </c>
      <c r="T52" s="17">
        <f t="shared" si="27"/>
        <v>0</v>
      </c>
      <c r="U52" s="17">
        <f t="shared" si="28"/>
        <v>0</v>
      </c>
      <c r="V52" s="17">
        <f t="shared" si="29"/>
        <v>0</v>
      </c>
      <c r="X52" s="22">
        <v>0</v>
      </c>
      <c r="Y52" s="22">
        <f t="shared" si="30"/>
        <v>0</v>
      </c>
      <c r="Z52" s="22">
        <f t="shared" si="31"/>
        <v>0</v>
      </c>
      <c r="AA52" s="22">
        <f t="shared" si="32"/>
        <v>0</v>
      </c>
      <c r="AB52" s="22">
        <f t="shared" si="33"/>
        <v>0</v>
      </c>
      <c r="AC52" s="22">
        <f t="shared" si="34"/>
        <v>0</v>
      </c>
      <c r="AD52" s="22">
        <f t="shared" si="35"/>
        <v>0</v>
      </c>
      <c r="AE52" s="22">
        <f t="shared" si="36"/>
        <v>0</v>
      </c>
      <c r="AF52" s="21">
        <v>0</v>
      </c>
      <c r="AG52" s="19"/>
      <c r="AH52" s="20">
        <f t="shared" si="37"/>
        <v>0</v>
      </c>
    </row>
    <row r="53" spans="2:34" x14ac:dyDescent="0.25">
      <c r="B53" s="11">
        <v>28</v>
      </c>
      <c r="C53" s="5">
        <f t="shared" si="38"/>
        <v>3</v>
      </c>
      <c r="D53" s="5">
        <f t="shared" si="38"/>
        <v>20</v>
      </c>
      <c r="E53" s="5">
        <f t="shared" si="38"/>
        <v>0</v>
      </c>
      <c r="F53" s="5">
        <f t="shared" si="38"/>
        <v>13</v>
      </c>
      <c r="G53" s="5">
        <f t="shared" si="38"/>
        <v>0</v>
      </c>
      <c r="H53" s="5">
        <f t="shared" si="38"/>
        <v>0</v>
      </c>
      <c r="I53" s="5">
        <f t="shared" si="38"/>
        <v>0</v>
      </c>
      <c r="J53" s="5">
        <f t="shared" si="38"/>
        <v>30</v>
      </c>
      <c r="K53" s="13">
        <f t="shared" si="38"/>
        <v>0</v>
      </c>
      <c r="M53" s="1">
        <v>28</v>
      </c>
      <c r="N53" s="16">
        <f t="shared" si="21"/>
        <v>0</v>
      </c>
      <c r="O53" s="16">
        <f t="shared" si="22"/>
        <v>0</v>
      </c>
      <c r="P53" s="16">
        <f t="shared" si="23"/>
        <v>0</v>
      </c>
      <c r="Q53" s="16">
        <f t="shared" si="24"/>
        <v>0</v>
      </c>
      <c r="R53" s="17">
        <f t="shared" si="25"/>
        <v>0</v>
      </c>
      <c r="S53" s="17">
        <f t="shared" si="26"/>
        <v>0</v>
      </c>
      <c r="T53" s="17">
        <f t="shared" si="27"/>
        <v>0</v>
      </c>
      <c r="U53" s="17">
        <f t="shared" si="28"/>
        <v>0</v>
      </c>
      <c r="V53" s="17">
        <f t="shared" si="29"/>
        <v>0</v>
      </c>
      <c r="X53" s="22">
        <v>0</v>
      </c>
      <c r="Y53" s="22">
        <f t="shared" si="30"/>
        <v>0</v>
      </c>
      <c r="Z53" s="22">
        <f t="shared" si="31"/>
        <v>0</v>
      </c>
      <c r="AA53" s="22">
        <f t="shared" si="32"/>
        <v>0</v>
      </c>
      <c r="AB53" s="22">
        <f t="shared" si="33"/>
        <v>0</v>
      </c>
      <c r="AC53" s="22">
        <f t="shared" si="34"/>
        <v>0</v>
      </c>
      <c r="AD53" s="22">
        <f t="shared" si="35"/>
        <v>0</v>
      </c>
      <c r="AE53" s="22">
        <f t="shared" si="36"/>
        <v>0</v>
      </c>
      <c r="AF53" s="21">
        <v>0</v>
      </c>
      <c r="AG53" s="19"/>
      <c r="AH53" s="20">
        <f t="shared" si="37"/>
        <v>0</v>
      </c>
    </row>
    <row r="54" spans="2:34" x14ac:dyDescent="0.25">
      <c r="B54" s="11">
        <v>29</v>
      </c>
      <c r="C54" s="5">
        <f t="shared" si="38"/>
        <v>0</v>
      </c>
      <c r="D54" s="5">
        <f t="shared" si="38"/>
        <v>0</v>
      </c>
      <c r="E54" s="5">
        <f t="shared" si="38"/>
        <v>0</v>
      </c>
      <c r="F54" s="5">
        <f t="shared" si="38"/>
        <v>0</v>
      </c>
      <c r="G54" s="5">
        <f t="shared" si="38"/>
        <v>0</v>
      </c>
      <c r="H54" s="5">
        <f t="shared" si="38"/>
        <v>0</v>
      </c>
      <c r="I54" s="5">
        <f t="shared" si="38"/>
        <v>0</v>
      </c>
      <c r="J54" s="5">
        <f t="shared" si="38"/>
        <v>9</v>
      </c>
      <c r="K54" s="13">
        <f t="shared" si="38"/>
        <v>0</v>
      </c>
      <c r="M54" s="1">
        <v>29</v>
      </c>
      <c r="N54" s="16">
        <f t="shared" si="21"/>
        <v>0</v>
      </c>
      <c r="O54" s="16">
        <f t="shared" si="22"/>
        <v>0</v>
      </c>
      <c r="P54" s="16">
        <f t="shared" si="23"/>
        <v>0</v>
      </c>
      <c r="Q54" s="16">
        <f t="shared" si="24"/>
        <v>0</v>
      </c>
      <c r="R54" s="17">
        <f t="shared" si="25"/>
        <v>0</v>
      </c>
      <c r="S54" s="17">
        <f t="shared" si="26"/>
        <v>0</v>
      </c>
      <c r="T54" s="17">
        <f t="shared" si="27"/>
        <v>0</v>
      </c>
      <c r="U54" s="17">
        <f t="shared" si="28"/>
        <v>0</v>
      </c>
      <c r="V54" s="17">
        <f t="shared" si="29"/>
        <v>0</v>
      </c>
      <c r="X54" s="22">
        <v>0</v>
      </c>
      <c r="Y54" s="22">
        <f t="shared" si="30"/>
        <v>0</v>
      </c>
      <c r="Z54" s="22">
        <f t="shared" si="31"/>
        <v>0</v>
      </c>
      <c r="AA54" s="22">
        <f t="shared" si="32"/>
        <v>0</v>
      </c>
      <c r="AB54" s="22">
        <f t="shared" si="33"/>
        <v>0</v>
      </c>
      <c r="AC54" s="22">
        <f t="shared" si="34"/>
        <v>0</v>
      </c>
      <c r="AD54" s="22">
        <f t="shared" si="35"/>
        <v>0</v>
      </c>
      <c r="AE54" s="22">
        <f t="shared" si="36"/>
        <v>0</v>
      </c>
      <c r="AF54" s="21">
        <v>0</v>
      </c>
      <c r="AG54" s="19"/>
      <c r="AH54" s="20">
        <f t="shared" si="37"/>
        <v>0</v>
      </c>
    </row>
    <row r="55" spans="2:34" x14ac:dyDescent="0.25">
      <c r="B55" s="11">
        <v>30</v>
      </c>
      <c r="C55" s="5">
        <f t="shared" si="38"/>
        <v>0</v>
      </c>
      <c r="D55" s="5">
        <f t="shared" si="38"/>
        <v>0</v>
      </c>
      <c r="E55" s="5">
        <f t="shared" si="38"/>
        <v>0</v>
      </c>
      <c r="F55" s="5">
        <f t="shared" si="38"/>
        <v>39</v>
      </c>
      <c r="G55" s="5">
        <f t="shared" si="38"/>
        <v>0</v>
      </c>
      <c r="H55" s="5">
        <f t="shared" si="38"/>
        <v>0</v>
      </c>
      <c r="I55" s="5">
        <f t="shared" si="38"/>
        <v>26</v>
      </c>
      <c r="J55" s="5">
        <f t="shared" si="38"/>
        <v>30</v>
      </c>
      <c r="K55" s="13">
        <f t="shared" si="38"/>
        <v>0</v>
      </c>
      <c r="M55" s="1">
        <v>30</v>
      </c>
      <c r="N55" s="16">
        <f t="shared" si="21"/>
        <v>0</v>
      </c>
      <c r="O55" s="16">
        <f t="shared" si="22"/>
        <v>0</v>
      </c>
      <c r="P55" s="16">
        <f t="shared" si="23"/>
        <v>0</v>
      </c>
      <c r="Q55" s="16">
        <f t="shared" si="24"/>
        <v>0</v>
      </c>
      <c r="R55" s="17">
        <f t="shared" si="25"/>
        <v>0</v>
      </c>
      <c r="S55" s="17">
        <f t="shared" si="26"/>
        <v>0</v>
      </c>
      <c r="T55" s="17">
        <f t="shared" si="27"/>
        <v>0</v>
      </c>
      <c r="U55" s="17">
        <f t="shared" si="28"/>
        <v>0</v>
      </c>
      <c r="V55" s="17">
        <f t="shared" si="29"/>
        <v>0</v>
      </c>
      <c r="X55" s="22">
        <v>0</v>
      </c>
      <c r="Y55" s="22">
        <f t="shared" si="30"/>
        <v>0</v>
      </c>
      <c r="Z55" s="22">
        <f t="shared" si="31"/>
        <v>0</v>
      </c>
      <c r="AA55" s="22">
        <f t="shared" si="32"/>
        <v>0</v>
      </c>
      <c r="AB55" s="22">
        <f t="shared" si="33"/>
        <v>0</v>
      </c>
      <c r="AC55" s="22">
        <f t="shared" si="34"/>
        <v>0</v>
      </c>
      <c r="AD55" s="22">
        <f t="shared" si="35"/>
        <v>0</v>
      </c>
      <c r="AE55" s="22">
        <f t="shared" si="36"/>
        <v>0</v>
      </c>
      <c r="AF55" s="21">
        <v>0</v>
      </c>
      <c r="AG55" s="19"/>
      <c r="AH55" s="20">
        <f t="shared" si="37"/>
        <v>0</v>
      </c>
    </row>
    <row r="56" spans="2:34" x14ac:dyDescent="0.25">
      <c r="B56" s="11">
        <v>31</v>
      </c>
      <c r="C56" s="5">
        <f t="shared" ref="C56:K65" si="39">IF(studentClash(C$5:C$10,problem,$B56)&lt;0,"clash",studentClash(C$5:C$10,problem,$B56))</f>
        <v>3</v>
      </c>
      <c r="D56" s="5">
        <f t="shared" si="39"/>
        <v>35</v>
      </c>
      <c r="E56" s="5">
        <f t="shared" si="39"/>
        <v>0</v>
      </c>
      <c r="F56" s="5">
        <f t="shared" si="39"/>
        <v>0</v>
      </c>
      <c r="G56" s="5">
        <f t="shared" si="39"/>
        <v>16</v>
      </c>
      <c r="H56" s="5">
        <f t="shared" si="39"/>
        <v>0</v>
      </c>
      <c r="I56" s="5">
        <f t="shared" si="39"/>
        <v>0</v>
      </c>
      <c r="J56" s="5">
        <f t="shared" si="39"/>
        <v>9</v>
      </c>
      <c r="K56" s="13">
        <f t="shared" si="39"/>
        <v>0</v>
      </c>
      <c r="M56" s="1">
        <v>31</v>
      </c>
      <c r="N56" s="16">
        <f t="shared" si="21"/>
        <v>0</v>
      </c>
      <c r="O56" s="16">
        <f t="shared" si="22"/>
        <v>0</v>
      </c>
      <c r="P56" s="16">
        <f t="shared" si="23"/>
        <v>0</v>
      </c>
      <c r="Q56" s="16">
        <f t="shared" si="24"/>
        <v>0</v>
      </c>
      <c r="R56" s="17">
        <f t="shared" si="25"/>
        <v>0</v>
      </c>
      <c r="S56" s="17">
        <f t="shared" si="26"/>
        <v>0</v>
      </c>
      <c r="T56" s="17">
        <f t="shared" si="27"/>
        <v>0</v>
      </c>
      <c r="U56" s="17">
        <f t="shared" si="28"/>
        <v>0</v>
      </c>
      <c r="V56" s="17">
        <f t="shared" si="29"/>
        <v>0</v>
      </c>
      <c r="X56" s="22">
        <v>0</v>
      </c>
      <c r="Y56" s="22">
        <f t="shared" si="30"/>
        <v>0</v>
      </c>
      <c r="Z56" s="22">
        <f t="shared" si="31"/>
        <v>0</v>
      </c>
      <c r="AA56" s="22">
        <f t="shared" si="32"/>
        <v>0</v>
      </c>
      <c r="AB56" s="22">
        <f t="shared" si="33"/>
        <v>0</v>
      </c>
      <c r="AC56" s="22">
        <f t="shared" si="34"/>
        <v>0</v>
      </c>
      <c r="AD56" s="22">
        <f t="shared" si="35"/>
        <v>0</v>
      </c>
      <c r="AE56" s="22">
        <f t="shared" si="36"/>
        <v>0</v>
      </c>
      <c r="AF56" s="21">
        <v>0</v>
      </c>
      <c r="AG56" s="19"/>
      <c r="AH56" s="20">
        <f t="shared" si="37"/>
        <v>0</v>
      </c>
    </row>
    <row r="57" spans="2:34" x14ac:dyDescent="0.25">
      <c r="B57" s="11">
        <v>32</v>
      </c>
      <c r="C57" s="5">
        <f t="shared" si="39"/>
        <v>37</v>
      </c>
      <c r="D57" s="5">
        <f t="shared" si="39"/>
        <v>20</v>
      </c>
      <c r="E57" s="5">
        <f t="shared" si="39"/>
        <v>22</v>
      </c>
      <c r="F57" s="5">
        <f t="shared" si="39"/>
        <v>25</v>
      </c>
      <c r="G57" s="5">
        <f t="shared" si="39"/>
        <v>0</v>
      </c>
      <c r="H57" s="5">
        <f t="shared" si="39"/>
        <v>0</v>
      </c>
      <c r="I57" s="5">
        <f t="shared" si="39"/>
        <v>0</v>
      </c>
      <c r="J57" s="5">
        <f t="shared" si="39"/>
        <v>0</v>
      </c>
      <c r="K57" s="13">
        <f t="shared" si="39"/>
        <v>0</v>
      </c>
      <c r="M57" s="1">
        <v>32</v>
      </c>
      <c r="N57" s="16">
        <f t="shared" si="21"/>
        <v>0</v>
      </c>
      <c r="O57" s="16">
        <f t="shared" si="22"/>
        <v>0</v>
      </c>
      <c r="P57" s="16">
        <f t="shared" si="23"/>
        <v>0</v>
      </c>
      <c r="Q57" s="16">
        <f t="shared" si="24"/>
        <v>0</v>
      </c>
      <c r="R57" s="17">
        <f t="shared" si="25"/>
        <v>0</v>
      </c>
      <c r="S57" s="17">
        <f t="shared" si="26"/>
        <v>0</v>
      </c>
      <c r="T57" s="17">
        <f t="shared" si="27"/>
        <v>0</v>
      </c>
      <c r="U57" s="17">
        <f t="shared" si="28"/>
        <v>0</v>
      </c>
      <c r="V57" s="17">
        <f t="shared" si="29"/>
        <v>0</v>
      </c>
      <c r="X57" s="22">
        <v>0</v>
      </c>
      <c r="Y57" s="22">
        <f t="shared" si="30"/>
        <v>1</v>
      </c>
      <c r="Z57" s="22">
        <f t="shared" si="31"/>
        <v>1</v>
      </c>
      <c r="AA57" s="22">
        <f t="shared" si="32"/>
        <v>0</v>
      </c>
      <c r="AB57" s="22">
        <f t="shared" si="33"/>
        <v>0</v>
      </c>
      <c r="AC57" s="22">
        <f t="shared" si="34"/>
        <v>0</v>
      </c>
      <c r="AD57" s="22">
        <f t="shared" si="35"/>
        <v>0</v>
      </c>
      <c r="AE57" s="22">
        <f t="shared" si="36"/>
        <v>0</v>
      </c>
      <c r="AF57" s="21">
        <v>0</v>
      </c>
      <c r="AG57" s="19"/>
      <c r="AH57" s="20">
        <f t="shared" si="37"/>
        <v>0</v>
      </c>
    </row>
    <row r="58" spans="2:34" x14ac:dyDescent="0.25">
      <c r="B58" s="11">
        <v>33</v>
      </c>
      <c r="C58" s="5">
        <f t="shared" si="39"/>
        <v>0</v>
      </c>
      <c r="D58" s="5">
        <f t="shared" si="39"/>
        <v>29</v>
      </c>
      <c r="E58" s="5">
        <f t="shared" si="39"/>
        <v>4</v>
      </c>
      <c r="F58" s="5">
        <f t="shared" si="39"/>
        <v>40</v>
      </c>
      <c r="G58" s="5">
        <f t="shared" si="39"/>
        <v>0</v>
      </c>
      <c r="H58" s="5">
        <f t="shared" si="39"/>
        <v>6</v>
      </c>
      <c r="I58" s="5">
        <f t="shared" si="39"/>
        <v>0</v>
      </c>
      <c r="J58" s="5">
        <f t="shared" si="39"/>
        <v>0</v>
      </c>
      <c r="K58" s="13">
        <f t="shared" si="39"/>
        <v>2</v>
      </c>
      <c r="M58" s="1">
        <v>33</v>
      </c>
      <c r="N58" s="16">
        <f t="shared" si="21"/>
        <v>0</v>
      </c>
      <c r="O58" s="16">
        <f t="shared" si="22"/>
        <v>0</v>
      </c>
      <c r="P58" s="16">
        <f t="shared" si="23"/>
        <v>0</v>
      </c>
      <c r="Q58" s="16">
        <f t="shared" si="24"/>
        <v>0</v>
      </c>
      <c r="R58" s="17">
        <f t="shared" si="25"/>
        <v>0</v>
      </c>
      <c r="S58" s="17">
        <f t="shared" si="26"/>
        <v>0</v>
      </c>
      <c r="T58" s="17">
        <f t="shared" si="27"/>
        <v>0</v>
      </c>
      <c r="U58" s="17">
        <f t="shared" si="28"/>
        <v>0</v>
      </c>
      <c r="V58" s="17">
        <f t="shared" si="29"/>
        <v>0</v>
      </c>
      <c r="X58" s="22">
        <v>0</v>
      </c>
      <c r="Y58" s="22">
        <f t="shared" si="30"/>
        <v>0</v>
      </c>
      <c r="Z58" s="22">
        <f t="shared" si="31"/>
        <v>1</v>
      </c>
      <c r="AA58" s="22">
        <f t="shared" si="32"/>
        <v>0</v>
      </c>
      <c r="AB58" s="22">
        <f t="shared" si="33"/>
        <v>0</v>
      </c>
      <c r="AC58" s="22">
        <f t="shared" si="34"/>
        <v>0</v>
      </c>
      <c r="AD58" s="22">
        <f t="shared" si="35"/>
        <v>0</v>
      </c>
      <c r="AE58" s="22">
        <f t="shared" si="36"/>
        <v>0</v>
      </c>
      <c r="AF58" s="21">
        <v>0</v>
      </c>
      <c r="AG58" s="19"/>
      <c r="AH58" s="20">
        <f t="shared" si="37"/>
        <v>1</v>
      </c>
    </row>
    <row r="59" spans="2:34" x14ac:dyDescent="0.25">
      <c r="B59" s="11">
        <v>34</v>
      </c>
      <c r="C59" s="5">
        <f t="shared" si="39"/>
        <v>38</v>
      </c>
      <c r="D59" s="5">
        <f t="shared" si="39"/>
        <v>0</v>
      </c>
      <c r="E59" s="5">
        <f t="shared" si="39"/>
        <v>22</v>
      </c>
      <c r="F59" s="5">
        <f t="shared" si="39"/>
        <v>0</v>
      </c>
      <c r="G59" s="5">
        <f t="shared" si="39"/>
        <v>1</v>
      </c>
      <c r="H59" s="5">
        <f t="shared" si="39"/>
        <v>0</v>
      </c>
      <c r="I59" s="5">
        <f t="shared" si="39"/>
        <v>0</v>
      </c>
      <c r="J59" s="5">
        <f t="shared" si="39"/>
        <v>0</v>
      </c>
      <c r="K59" s="13">
        <f t="shared" si="39"/>
        <v>0</v>
      </c>
      <c r="M59" s="1">
        <v>34</v>
      </c>
      <c r="N59" s="16">
        <f t="shared" si="21"/>
        <v>0</v>
      </c>
      <c r="O59" s="16">
        <f t="shared" si="22"/>
        <v>0</v>
      </c>
      <c r="P59" s="16">
        <f t="shared" si="23"/>
        <v>0</v>
      </c>
      <c r="Q59" s="16">
        <f t="shared" si="24"/>
        <v>0</v>
      </c>
      <c r="R59" s="17">
        <f t="shared" si="25"/>
        <v>0</v>
      </c>
      <c r="S59" s="17">
        <f t="shared" si="26"/>
        <v>0</v>
      </c>
      <c r="T59" s="17">
        <f t="shared" si="27"/>
        <v>0</v>
      </c>
      <c r="U59" s="17">
        <f t="shared" si="28"/>
        <v>0</v>
      </c>
      <c r="V59" s="17">
        <f t="shared" si="29"/>
        <v>0</v>
      </c>
      <c r="X59" s="22">
        <v>0</v>
      </c>
      <c r="Y59" s="22">
        <f t="shared" si="30"/>
        <v>0</v>
      </c>
      <c r="Z59" s="22">
        <f t="shared" si="31"/>
        <v>0</v>
      </c>
      <c r="AA59" s="22">
        <f t="shared" si="32"/>
        <v>0</v>
      </c>
      <c r="AB59" s="22">
        <f t="shared" si="33"/>
        <v>0</v>
      </c>
      <c r="AC59" s="22">
        <f t="shared" si="34"/>
        <v>0</v>
      </c>
      <c r="AD59" s="22">
        <f t="shared" si="35"/>
        <v>0</v>
      </c>
      <c r="AE59" s="22">
        <f t="shared" si="36"/>
        <v>0</v>
      </c>
      <c r="AF59" s="21">
        <v>0</v>
      </c>
      <c r="AG59" s="19"/>
      <c r="AH59" s="20">
        <f t="shared" si="37"/>
        <v>0</v>
      </c>
    </row>
    <row r="60" spans="2:34" x14ac:dyDescent="0.25">
      <c r="B60" s="11">
        <v>35</v>
      </c>
      <c r="C60" s="5">
        <f t="shared" si="39"/>
        <v>0</v>
      </c>
      <c r="D60" s="5">
        <f t="shared" si="39"/>
        <v>28</v>
      </c>
      <c r="E60" s="5">
        <f t="shared" si="39"/>
        <v>0</v>
      </c>
      <c r="F60" s="5">
        <f t="shared" si="39"/>
        <v>0</v>
      </c>
      <c r="G60" s="5">
        <f t="shared" si="39"/>
        <v>0</v>
      </c>
      <c r="H60" s="5">
        <f t="shared" si="39"/>
        <v>0</v>
      </c>
      <c r="I60" s="5">
        <f t="shared" si="39"/>
        <v>21</v>
      </c>
      <c r="J60" s="5">
        <f t="shared" si="39"/>
        <v>9</v>
      </c>
      <c r="K60" s="13">
        <f t="shared" si="39"/>
        <v>0</v>
      </c>
      <c r="M60" s="1">
        <v>35</v>
      </c>
      <c r="N60" s="16">
        <f t="shared" si="21"/>
        <v>0</v>
      </c>
      <c r="O60" s="16">
        <f t="shared" si="22"/>
        <v>0</v>
      </c>
      <c r="P60" s="16">
        <f t="shared" si="23"/>
        <v>0</v>
      </c>
      <c r="Q60" s="16">
        <f t="shared" si="24"/>
        <v>0</v>
      </c>
      <c r="R60" s="17">
        <f t="shared" si="25"/>
        <v>0</v>
      </c>
      <c r="S60" s="17">
        <f t="shared" si="26"/>
        <v>0</v>
      </c>
      <c r="T60" s="17">
        <f t="shared" si="27"/>
        <v>0</v>
      </c>
      <c r="U60" s="17">
        <f t="shared" si="28"/>
        <v>0</v>
      </c>
      <c r="V60" s="17">
        <f t="shared" si="29"/>
        <v>0</v>
      </c>
      <c r="X60" s="22">
        <v>0</v>
      </c>
      <c r="Y60" s="22">
        <f t="shared" si="30"/>
        <v>0</v>
      </c>
      <c r="Z60" s="22">
        <f t="shared" si="31"/>
        <v>0</v>
      </c>
      <c r="AA60" s="22">
        <f t="shared" si="32"/>
        <v>0</v>
      </c>
      <c r="AB60" s="22">
        <f t="shared" si="33"/>
        <v>0</v>
      </c>
      <c r="AC60" s="22">
        <f t="shared" si="34"/>
        <v>0</v>
      </c>
      <c r="AD60" s="22">
        <f t="shared" si="35"/>
        <v>0</v>
      </c>
      <c r="AE60" s="22">
        <f t="shared" si="36"/>
        <v>0</v>
      </c>
      <c r="AF60" s="21">
        <v>0</v>
      </c>
      <c r="AG60" s="19"/>
      <c r="AH60" s="20">
        <f t="shared" si="37"/>
        <v>0</v>
      </c>
    </row>
    <row r="61" spans="2:34" x14ac:dyDescent="0.25">
      <c r="B61" s="11">
        <v>36</v>
      </c>
      <c r="C61" s="5">
        <f t="shared" si="39"/>
        <v>0</v>
      </c>
      <c r="D61" s="5">
        <f t="shared" si="39"/>
        <v>0</v>
      </c>
      <c r="E61" s="5">
        <f t="shared" si="39"/>
        <v>0</v>
      </c>
      <c r="F61" s="5">
        <f t="shared" si="39"/>
        <v>13</v>
      </c>
      <c r="G61" s="5">
        <f t="shared" si="39"/>
        <v>0</v>
      </c>
      <c r="H61" s="5">
        <f t="shared" si="39"/>
        <v>0</v>
      </c>
      <c r="I61" s="5">
        <f t="shared" si="39"/>
        <v>0</v>
      </c>
      <c r="J61" s="5">
        <f t="shared" si="39"/>
        <v>0</v>
      </c>
      <c r="K61" s="13">
        <f t="shared" si="39"/>
        <v>2</v>
      </c>
      <c r="M61" s="1">
        <v>36</v>
      </c>
      <c r="N61" s="16">
        <f t="shared" si="21"/>
        <v>0</v>
      </c>
      <c r="O61" s="16">
        <f t="shared" si="22"/>
        <v>0</v>
      </c>
      <c r="P61" s="16">
        <f t="shared" si="23"/>
        <v>0</v>
      </c>
      <c r="Q61" s="16">
        <f t="shared" si="24"/>
        <v>0</v>
      </c>
      <c r="R61" s="17">
        <f t="shared" si="25"/>
        <v>0</v>
      </c>
      <c r="S61" s="17">
        <f t="shared" si="26"/>
        <v>0</v>
      </c>
      <c r="T61" s="17">
        <f t="shared" si="27"/>
        <v>0</v>
      </c>
      <c r="U61" s="17">
        <f t="shared" si="28"/>
        <v>0</v>
      </c>
      <c r="V61" s="17">
        <f t="shared" si="29"/>
        <v>0</v>
      </c>
      <c r="X61" s="22">
        <v>0</v>
      </c>
      <c r="Y61" s="22">
        <f t="shared" si="30"/>
        <v>0</v>
      </c>
      <c r="Z61" s="22">
        <f t="shared" si="31"/>
        <v>0</v>
      </c>
      <c r="AA61" s="22">
        <f t="shared" si="32"/>
        <v>0</v>
      </c>
      <c r="AB61" s="22">
        <f t="shared" si="33"/>
        <v>0</v>
      </c>
      <c r="AC61" s="22">
        <f t="shared" si="34"/>
        <v>0</v>
      </c>
      <c r="AD61" s="22">
        <f t="shared" si="35"/>
        <v>0</v>
      </c>
      <c r="AE61" s="22">
        <f t="shared" si="36"/>
        <v>0</v>
      </c>
      <c r="AF61" s="21">
        <v>0</v>
      </c>
      <c r="AG61" s="19"/>
      <c r="AH61" s="20">
        <f t="shared" si="37"/>
        <v>1</v>
      </c>
    </row>
    <row r="62" spans="2:34" x14ac:dyDescent="0.25">
      <c r="B62" s="11">
        <v>37</v>
      </c>
      <c r="C62" s="5">
        <f t="shared" si="39"/>
        <v>0</v>
      </c>
      <c r="D62" s="5">
        <f t="shared" si="39"/>
        <v>0</v>
      </c>
      <c r="E62" s="5">
        <f t="shared" si="39"/>
        <v>4</v>
      </c>
      <c r="F62" s="5">
        <f t="shared" si="39"/>
        <v>25</v>
      </c>
      <c r="G62" s="5">
        <f t="shared" si="39"/>
        <v>0</v>
      </c>
      <c r="H62" s="5">
        <f t="shared" si="39"/>
        <v>6</v>
      </c>
      <c r="I62" s="5">
        <f t="shared" si="39"/>
        <v>0</v>
      </c>
      <c r="J62" s="5">
        <f t="shared" si="39"/>
        <v>17</v>
      </c>
      <c r="K62" s="13">
        <f t="shared" si="39"/>
        <v>7</v>
      </c>
      <c r="M62" s="1">
        <v>37</v>
      </c>
      <c r="N62" s="16">
        <f t="shared" si="21"/>
        <v>0</v>
      </c>
      <c r="O62" s="16">
        <f t="shared" si="22"/>
        <v>0</v>
      </c>
      <c r="P62" s="16">
        <f t="shared" si="23"/>
        <v>0</v>
      </c>
      <c r="Q62" s="16">
        <f t="shared" si="24"/>
        <v>0</v>
      </c>
      <c r="R62" s="17">
        <f t="shared" si="25"/>
        <v>0</v>
      </c>
      <c r="S62" s="17">
        <f t="shared" si="26"/>
        <v>0</v>
      </c>
      <c r="T62" s="17">
        <f t="shared" si="27"/>
        <v>0</v>
      </c>
      <c r="U62" s="17">
        <f t="shared" si="28"/>
        <v>0</v>
      </c>
      <c r="V62" s="17">
        <f t="shared" si="29"/>
        <v>0</v>
      </c>
      <c r="X62" s="22">
        <v>0</v>
      </c>
      <c r="Y62" s="22">
        <f t="shared" si="30"/>
        <v>0</v>
      </c>
      <c r="Z62" s="22">
        <f t="shared" si="31"/>
        <v>0</v>
      </c>
      <c r="AA62" s="22">
        <f t="shared" si="32"/>
        <v>0</v>
      </c>
      <c r="AB62" s="22">
        <f t="shared" si="33"/>
        <v>0</v>
      </c>
      <c r="AC62" s="22">
        <f t="shared" si="34"/>
        <v>0</v>
      </c>
      <c r="AD62" s="22">
        <f t="shared" si="35"/>
        <v>0</v>
      </c>
      <c r="AE62" s="22">
        <f t="shared" si="36"/>
        <v>0</v>
      </c>
      <c r="AF62" s="21">
        <v>0</v>
      </c>
      <c r="AG62" s="19"/>
      <c r="AH62" s="20">
        <f t="shared" si="37"/>
        <v>1</v>
      </c>
    </row>
    <row r="63" spans="2:34" x14ac:dyDescent="0.25">
      <c r="B63" s="11">
        <v>38</v>
      </c>
      <c r="C63" s="5">
        <f t="shared" si="39"/>
        <v>10</v>
      </c>
      <c r="D63" s="5">
        <f t="shared" si="39"/>
        <v>0</v>
      </c>
      <c r="E63" s="5">
        <f t="shared" si="39"/>
        <v>0</v>
      </c>
      <c r="F63" s="5">
        <f t="shared" si="39"/>
        <v>0</v>
      </c>
      <c r="G63" s="5">
        <f t="shared" si="39"/>
        <v>23</v>
      </c>
      <c r="H63" s="5">
        <f t="shared" si="39"/>
        <v>0</v>
      </c>
      <c r="I63" s="5">
        <f t="shared" si="39"/>
        <v>21</v>
      </c>
      <c r="J63" s="5">
        <f t="shared" si="39"/>
        <v>0</v>
      </c>
      <c r="K63" s="13">
        <f t="shared" si="39"/>
        <v>0</v>
      </c>
      <c r="M63" s="1">
        <v>38</v>
      </c>
      <c r="N63" s="16">
        <f t="shared" si="21"/>
        <v>0</v>
      </c>
      <c r="O63" s="16">
        <f t="shared" si="22"/>
        <v>0</v>
      </c>
      <c r="P63" s="16">
        <f t="shared" si="23"/>
        <v>0</v>
      </c>
      <c r="Q63" s="16">
        <f t="shared" si="24"/>
        <v>0</v>
      </c>
      <c r="R63" s="17">
        <f t="shared" si="25"/>
        <v>0</v>
      </c>
      <c r="S63" s="17">
        <f t="shared" si="26"/>
        <v>0</v>
      </c>
      <c r="T63" s="17">
        <f t="shared" si="27"/>
        <v>0</v>
      </c>
      <c r="U63" s="17">
        <f t="shared" si="28"/>
        <v>0</v>
      </c>
      <c r="V63" s="17">
        <f t="shared" si="29"/>
        <v>0</v>
      </c>
      <c r="X63" s="22">
        <v>0</v>
      </c>
      <c r="Y63" s="22">
        <f t="shared" si="30"/>
        <v>0</v>
      </c>
      <c r="Z63" s="22">
        <f t="shared" si="31"/>
        <v>0</v>
      </c>
      <c r="AA63" s="22">
        <f t="shared" si="32"/>
        <v>0</v>
      </c>
      <c r="AB63" s="22">
        <f t="shared" si="33"/>
        <v>0</v>
      </c>
      <c r="AC63" s="22">
        <f t="shared" si="34"/>
        <v>0</v>
      </c>
      <c r="AD63" s="22">
        <f t="shared" si="35"/>
        <v>0</v>
      </c>
      <c r="AE63" s="22">
        <f t="shared" si="36"/>
        <v>0</v>
      </c>
      <c r="AF63" s="21">
        <v>0</v>
      </c>
      <c r="AG63" s="19"/>
      <c r="AH63" s="20">
        <f t="shared" si="37"/>
        <v>0</v>
      </c>
    </row>
    <row r="64" spans="2:34" x14ac:dyDescent="0.25">
      <c r="B64" s="11">
        <v>39</v>
      </c>
      <c r="C64" s="5">
        <f t="shared" si="39"/>
        <v>0</v>
      </c>
      <c r="D64" s="5">
        <f t="shared" si="39"/>
        <v>0</v>
      </c>
      <c r="E64" s="5">
        <f t="shared" si="39"/>
        <v>0</v>
      </c>
      <c r="F64" s="5">
        <f t="shared" si="39"/>
        <v>40</v>
      </c>
      <c r="G64" s="5">
        <f t="shared" si="39"/>
        <v>0</v>
      </c>
      <c r="H64" s="5">
        <f t="shared" si="39"/>
        <v>0</v>
      </c>
      <c r="I64" s="5">
        <f t="shared" si="39"/>
        <v>0</v>
      </c>
      <c r="J64" s="5">
        <f t="shared" si="39"/>
        <v>30</v>
      </c>
      <c r="K64" s="13">
        <f t="shared" si="39"/>
        <v>36</v>
      </c>
      <c r="M64" s="1">
        <v>39</v>
      </c>
      <c r="N64" s="16">
        <f t="shared" si="21"/>
        <v>0</v>
      </c>
      <c r="O64" s="16">
        <f t="shared" si="22"/>
        <v>0</v>
      </c>
      <c r="P64" s="16">
        <f t="shared" si="23"/>
        <v>0</v>
      </c>
      <c r="Q64" s="16">
        <f t="shared" si="24"/>
        <v>0</v>
      </c>
      <c r="R64" s="17">
        <f t="shared" si="25"/>
        <v>0</v>
      </c>
      <c r="S64" s="17">
        <f t="shared" si="26"/>
        <v>0</v>
      </c>
      <c r="T64" s="17">
        <f t="shared" si="27"/>
        <v>0</v>
      </c>
      <c r="U64" s="17">
        <f t="shared" si="28"/>
        <v>0</v>
      </c>
      <c r="V64" s="17">
        <f t="shared" si="29"/>
        <v>0</v>
      </c>
      <c r="X64" s="22">
        <v>0</v>
      </c>
      <c r="Y64" s="22">
        <f t="shared" si="30"/>
        <v>0</v>
      </c>
      <c r="Z64" s="22">
        <f t="shared" si="31"/>
        <v>0</v>
      </c>
      <c r="AA64" s="22">
        <f t="shared" si="32"/>
        <v>0</v>
      </c>
      <c r="AB64" s="22">
        <f t="shared" si="33"/>
        <v>0</v>
      </c>
      <c r="AC64" s="22">
        <f t="shared" si="34"/>
        <v>0</v>
      </c>
      <c r="AD64" s="22">
        <f t="shared" si="35"/>
        <v>0</v>
      </c>
      <c r="AE64" s="22">
        <f t="shared" si="36"/>
        <v>0</v>
      </c>
      <c r="AF64" s="21">
        <v>0</v>
      </c>
      <c r="AG64" s="19"/>
      <c r="AH64" s="20">
        <f t="shared" si="37"/>
        <v>1</v>
      </c>
    </row>
    <row r="65" spans="2:34" x14ac:dyDescent="0.25">
      <c r="B65" s="11">
        <v>40</v>
      </c>
      <c r="C65" s="5">
        <f t="shared" si="39"/>
        <v>0</v>
      </c>
      <c r="D65" s="5">
        <f t="shared" si="39"/>
        <v>0</v>
      </c>
      <c r="E65" s="5">
        <f t="shared" si="39"/>
        <v>22</v>
      </c>
      <c r="F65" s="5">
        <f t="shared" si="39"/>
        <v>40</v>
      </c>
      <c r="G65" s="5">
        <f t="shared" si="39"/>
        <v>0</v>
      </c>
      <c r="H65" s="5">
        <f t="shared" si="39"/>
        <v>0</v>
      </c>
      <c r="I65" s="5">
        <f t="shared" si="39"/>
        <v>0</v>
      </c>
      <c r="J65" s="5">
        <f t="shared" si="39"/>
        <v>5</v>
      </c>
      <c r="K65" s="13">
        <f t="shared" si="39"/>
        <v>0</v>
      </c>
      <c r="M65" s="1">
        <v>40</v>
      </c>
      <c r="N65" s="16">
        <f t="shared" si="21"/>
        <v>0</v>
      </c>
      <c r="O65" s="16">
        <f t="shared" si="22"/>
        <v>0</v>
      </c>
      <c r="P65" s="16">
        <f t="shared" si="23"/>
        <v>0</v>
      </c>
      <c r="Q65" s="16">
        <f t="shared" si="24"/>
        <v>0</v>
      </c>
      <c r="R65" s="17">
        <f t="shared" si="25"/>
        <v>0</v>
      </c>
      <c r="S65" s="17">
        <f t="shared" si="26"/>
        <v>0</v>
      </c>
      <c r="T65" s="17">
        <f t="shared" si="27"/>
        <v>0</v>
      </c>
      <c r="U65" s="17">
        <f t="shared" si="28"/>
        <v>0</v>
      </c>
      <c r="V65" s="17">
        <f t="shared" si="29"/>
        <v>0</v>
      </c>
      <c r="X65" s="22">
        <v>0</v>
      </c>
      <c r="Y65" s="22">
        <f t="shared" si="30"/>
        <v>0</v>
      </c>
      <c r="Z65" s="22">
        <f t="shared" si="31"/>
        <v>0</v>
      </c>
      <c r="AA65" s="22">
        <f t="shared" si="32"/>
        <v>0</v>
      </c>
      <c r="AB65" s="22">
        <f t="shared" si="33"/>
        <v>0</v>
      </c>
      <c r="AC65" s="22">
        <f t="shared" si="34"/>
        <v>0</v>
      </c>
      <c r="AD65" s="22">
        <f t="shared" si="35"/>
        <v>0</v>
      </c>
      <c r="AE65" s="22">
        <f t="shared" si="36"/>
        <v>0</v>
      </c>
      <c r="AF65" s="21">
        <v>0</v>
      </c>
      <c r="AG65" s="19"/>
      <c r="AH65" s="20">
        <f t="shared" si="37"/>
        <v>0</v>
      </c>
    </row>
    <row r="66" spans="2:34" x14ac:dyDescent="0.25">
      <c r="B66" s="11">
        <v>41</v>
      </c>
      <c r="C66" s="5">
        <f t="shared" ref="C66:K75" si="40">IF(studentClash(C$5:C$10,problem,$B66)&lt;0,"clash",studentClash(C$5:C$10,problem,$B66))</f>
        <v>0</v>
      </c>
      <c r="D66" s="5">
        <f t="shared" si="40"/>
        <v>0</v>
      </c>
      <c r="E66" s="5">
        <f t="shared" si="40"/>
        <v>22</v>
      </c>
      <c r="F66" s="5">
        <f t="shared" si="40"/>
        <v>13</v>
      </c>
      <c r="G66" s="5">
        <f t="shared" si="40"/>
        <v>0</v>
      </c>
      <c r="H66" s="5">
        <f t="shared" si="40"/>
        <v>0</v>
      </c>
      <c r="I66" s="5">
        <f t="shared" si="40"/>
        <v>0</v>
      </c>
      <c r="J66" s="5">
        <f t="shared" si="40"/>
        <v>17</v>
      </c>
      <c r="K66" s="13">
        <f t="shared" si="40"/>
        <v>0</v>
      </c>
      <c r="M66" s="1">
        <v>41</v>
      </c>
      <c r="N66" s="16">
        <f t="shared" si="21"/>
        <v>0</v>
      </c>
      <c r="O66" s="16">
        <f t="shared" si="22"/>
        <v>0</v>
      </c>
      <c r="P66" s="16">
        <f t="shared" si="23"/>
        <v>0</v>
      </c>
      <c r="Q66" s="16">
        <f t="shared" si="24"/>
        <v>0</v>
      </c>
      <c r="R66" s="17">
        <f t="shared" si="25"/>
        <v>0</v>
      </c>
      <c r="S66" s="17">
        <f t="shared" si="26"/>
        <v>0</v>
      </c>
      <c r="T66" s="17">
        <f t="shared" si="27"/>
        <v>0</v>
      </c>
      <c r="U66" s="17">
        <f t="shared" si="28"/>
        <v>0</v>
      </c>
      <c r="V66" s="17">
        <f t="shared" si="29"/>
        <v>0</v>
      </c>
      <c r="X66" s="22">
        <v>0</v>
      </c>
      <c r="Y66" s="22">
        <f t="shared" si="30"/>
        <v>0</v>
      </c>
      <c r="Z66" s="22">
        <f t="shared" si="31"/>
        <v>0</v>
      </c>
      <c r="AA66" s="22">
        <f t="shared" si="32"/>
        <v>0</v>
      </c>
      <c r="AB66" s="22">
        <f t="shared" si="33"/>
        <v>0</v>
      </c>
      <c r="AC66" s="22">
        <f t="shared" si="34"/>
        <v>0</v>
      </c>
      <c r="AD66" s="22">
        <f t="shared" si="35"/>
        <v>0</v>
      </c>
      <c r="AE66" s="22">
        <f t="shared" si="36"/>
        <v>0</v>
      </c>
      <c r="AF66" s="21">
        <v>0</v>
      </c>
      <c r="AG66" s="19"/>
      <c r="AH66" s="20">
        <f t="shared" si="37"/>
        <v>0</v>
      </c>
    </row>
    <row r="67" spans="2:34" x14ac:dyDescent="0.25">
      <c r="B67" s="11">
        <v>42</v>
      </c>
      <c r="C67" s="5">
        <f t="shared" si="40"/>
        <v>0</v>
      </c>
      <c r="D67" s="5">
        <f t="shared" si="40"/>
        <v>0</v>
      </c>
      <c r="E67" s="5">
        <f t="shared" si="40"/>
        <v>0</v>
      </c>
      <c r="F67" s="5">
        <f t="shared" si="40"/>
        <v>0</v>
      </c>
      <c r="G67" s="5">
        <f t="shared" si="40"/>
        <v>32</v>
      </c>
      <c r="H67" s="5">
        <f t="shared" si="40"/>
        <v>0</v>
      </c>
      <c r="I67" s="5">
        <f t="shared" si="40"/>
        <v>0</v>
      </c>
      <c r="J67" s="5">
        <f t="shared" si="40"/>
        <v>0</v>
      </c>
      <c r="K67" s="13">
        <f t="shared" si="40"/>
        <v>2</v>
      </c>
      <c r="M67" s="1">
        <v>42</v>
      </c>
      <c r="N67" s="16">
        <f t="shared" si="21"/>
        <v>0</v>
      </c>
      <c r="O67" s="16">
        <f t="shared" si="22"/>
        <v>0</v>
      </c>
      <c r="P67" s="16">
        <f t="shared" si="23"/>
        <v>0</v>
      </c>
      <c r="Q67" s="16">
        <f t="shared" si="24"/>
        <v>0</v>
      </c>
      <c r="R67" s="17">
        <f t="shared" si="25"/>
        <v>0</v>
      </c>
      <c r="S67" s="17">
        <f t="shared" si="26"/>
        <v>0</v>
      </c>
      <c r="T67" s="17">
        <f t="shared" si="27"/>
        <v>0</v>
      </c>
      <c r="U67" s="17">
        <f t="shared" si="28"/>
        <v>0</v>
      </c>
      <c r="V67" s="17">
        <f t="shared" si="29"/>
        <v>0</v>
      </c>
      <c r="X67" s="22">
        <v>0</v>
      </c>
      <c r="Y67" s="22">
        <f t="shared" si="30"/>
        <v>0</v>
      </c>
      <c r="Z67" s="22">
        <f t="shared" si="31"/>
        <v>0</v>
      </c>
      <c r="AA67" s="22">
        <f t="shared" si="32"/>
        <v>0</v>
      </c>
      <c r="AB67" s="22">
        <f t="shared" si="33"/>
        <v>0</v>
      </c>
      <c r="AC67" s="22">
        <f t="shared" si="34"/>
        <v>0</v>
      </c>
      <c r="AD67" s="22">
        <f t="shared" si="35"/>
        <v>0</v>
      </c>
      <c r="AE67" s="22">
        <f t="shared" si="36"/>
        <v>0</v>
      </c>
      <c r="AF67" s="21">
        <v>0</v>
      </c>
      <c r="AG67" s="19"/>
      <c r="AH67" s="20">
        <f t="shared" si="37"/>
        <v>1</v>
      </c>
    </row>
    <row r="68" spans="2:34" x14ac:dyDescent="0.25">
      <c r="B68" s="11">
        <v>43</v>
      </c>
      <c r="C68" s="5">
        <f t="shared" si="40"/>
        <v>0</v>
      </c>
      <c r="D68" s="5">
        <f t="shared" si="40"/>
        <v>0</v>
      </c>
      <c r="E68" s="5">
        <f t="shared" si="40"/>
        <v>18</v>
      </c>
      <c r="F68" s="5">
        <f t="shared" si="40"/>
        <v>31</v>
      </c>
      <c r="G68" s="5">
        <f t="shared" si="40"/>
        <v>0</v>
      </c>
      <c r="H68" s="5">
        <f t="shared" si="40"/>
        <v>6</v>
      </c>
      <c r="I68" s="5">
        <f t="shared" si="40"/>
        <v>0</v>
      </c>
      <c r="J68" s="5">
        <f t="shared" si="40"/>
        <v>0</v>
      </c>
      <c r="K68" s="13">
        <f t="shared" si="40"/>
        <v>36</v>
      </c>
      <c r="M68" s="1">
        <v>43</v>
      </c>
      <c r="N68" s="16">
        <f t="shared" si="21"/>
        <v>0</v>
      </c>
      <c r="O68" s="16">
        <f t="shared" si="22"/>
        <v>0</v>
      </c>
      <c r="P68" s="16">
        <f t="shared" si="23"/>
        <v>0</v>
      </c>
      <c r="Q68" s="16">
        <f t="shared" si="24"/>
        <v>0</v>
      </c>
      <c r="R68" s="17">
        <f t="shared" si="25"/>
        <v>0</v>
      </c>
      <c r="S68" s="17">
        <f t="shared" si="26"/>
        <v>0</v>
      </c>
      <c r="T68" s="17">
        <f t="shared" si="27"/>
        <v>0</v>
      </c>
      <c r="U68" s="17">
        <f t="shared" si="28"/>
        <v>0</v>
      </c>
      <c r="V68" s="17">
        <f t="shared" si="29"/>
        <v>0</v>
      </c>
      <c r="X68" s="22">
        <v>0</v>
      </c>
      <c r="Y68" s="22">
        <f t="shared" si="30"/>
        <v>0</v>
      </c>
      <c r="Z68" s="22">
        <f t="shared" si="31"/>
        <v>0</v>
      </c>
      <c r="AA68" s="22">
        <f t="shared" si="32"/>
        <v>0</v>
      </c>
      <c r="AB68" s="22">
        <f t="shared" si="33"/>
        <v>0</v>
      </c>
      <c r="AC68" s="22">
        <f t="shared" si="34"/>
        <v>0</v>
      </c>
      <c r="AD68" s="22">
        <f t="shared" si="35"/>
        <v>0</v>
      </c>
      <c r="AE68" s="22">
        <f t="shared" si="36"/>
        <v>0</v>
      </c>
      <c r="AF68" s="21">
        <v>0</v>
      </c>
      <c r="AG68" s="19"/>
      <c r="AH68" s="20">
        <f t="shared" si="37"/>
        <v>1</v>
      </c>
    </row>
    <row r="69" spans="2:34" x14ac:dyDescent="0.25">
      <c r="B69" s="11">
        <v>44</v>
      </c>
      <c r="C69" s="5">
        <f t="shared" si="40"/>
        <v>0</v>
      </c>
      <c r="D69" s="5">
        <f t="shared" si="40"/>
        <v>0</v>
      </c>
      <c r="E69" s="5">
        <f t="shared" si="40"/>
        <v>0</v>
      </c>
      <c r="F69" s="5">
        <f t="shared" si="40"/>
        <v>0</v>
      </c>
      <c r="G69" s="5">
        <f t="shared" si="40"/>
        <v>0</v>
      </c>
      <c r="H69" s="5">
        <f t="shared" si="40"/>
        <v>0</v>
      </c>
      <c r="I69" s="5">
        <f t="shared" si="40"/>
        <v>26</v>
      </c>
      <c r="J69" s="5">
        <f t="shared" si="40"/>
        <v>0</v>
      </c>
      <c r="K69" s="13">
        <f t="shared" si="40"/>
        <v>0</v>
      </c>
      <c r="M69" s="1">
        <v>44</v>
      </c>
      <c r="N69" s="16">
        <f t="shared" si="21"/>
        <v>0</v>
      </c>
      <c r="O69" s="16">
        <f t="shared" si="22"/>
        <v>0</v>
      </c>
      <c r="P69" s="16">
        <f t="shared" si="23"/>
        <v>0</v>
      </c>
      <c r="Q69" s="16">
        <f t="shared" si="24"/>
        <v>0</v>
      </c>
      <c r="R69" s="17">
        <f t="shared" si="25"/>
        <v>0</v>
      </c>
      <c r="S69" s="17">
        <f t="shared" si="26"/>
        <v>0</v>
      </c>
      <c r="T69" s="17">
        <f t="shared" si="27"/>
        <v>0</v>
      </c>
      <c r="U69" s="17">
        <f t="shared" si="28"/>
        <v>0</v>
      </c>
      <c r="V69" s="17">
        <f t="shared" si="29"/>
        <v>0</v>
      </c>
      <c r="X69" s="22">
        <v>0</v>
      </c>
      <c r="Y69" s="22">
        <f t="shared" si="30"/>
        <v>0</v>
      </c>
      <c r="Z69" s="22">
        <f t="shared" si="31"/>
        <v>0</v>
      </c>
      <c r="AA69" s="22">
        <f t="shared" si="32"/>
        <v>0</v>
      </c>
      <c r="AB69" s="22">
        <f t="shared" si="33"/>
        <v>0</v>
      </c>
      <c r="AC69" s="22">
        <f t="shared" si="34"/>
        <v>0</v>
      </c>
      <c r="AD69" s="22">
        <f t="shared" si="35"/>
        <v>0</v>
      </c>
      <c r="AE69" s="22">
        <f t="shared" si="36"/>
        <v>0</v>
      </c>
      <c r="AF69" s="21">
        <v>0</v>
      </c>
      <c r="AG69" s="19"/>
      <c r="AH69" s="20">
        <f t="shared" si="37"/>
        <v>0</v>
      </c>
    </row>
    <row r="70" spans="2:34" x14ac:dyDescent="0.25">
      <c r="B70" s="11">
        <v>45</v>
      </c>
      <c r="C70" s="5">
        <f t="shared" si="40"/>
        <v>0</v>
      </c>
      <c r="D70" s="5">
        <f t="shared" si="40"/>
        <v>0</v>
      </c>
      <c r="E70" s="5">
        <f t="shared" si="40"/>
        <v>0</v>
      </c>
      <c r="F70" s="5">
        <f t="shared" si="40"/>
        <v>13</v>
      </c>
      <c r="G70" s="5">
        <f t="shared" si="40"/>
        <v>0</v>
      </c>
      <c r="H70" s="5">
        <f t="shared" si="40"/>
        <v>0</v>
      </c>
      <c r="I70" s="5">
        <f t="shared" si="40"/>
        <v>21</v>
      </c>
      <c r="J70" s="5">
        <f t="shared" si="40"/>
        <v>9</v>
      </c>
      <c r="K70" s="13">
        <f t="shared" si="40"/>
        <v>0</v>
      </c>
      <c r="M70" s="1">
        <v>45</v>
      </c>
      <c r="N70" s="16">
        <f t="shared" si="21"/>
        <v>0</v>
      </c>
      <c r="O70" s="16">
        <f t="shared" si="22"/>
        <v>0</v>
      </c>
      <c r="P70" s="16">
        <f t="shared" si="23"/>
        <v>0</v>
      </c>
      <c r="Q70" s="16">
        <f t="shared" si="24"/>
        <v>0</v>
      </c>
      <c r="R70" s="17">
        <f t="shared" si="25"/>
        <v>0</v>
      </c>
      <c r="S70" s="17">
        <f t="shared" si="26"/>
        <v>0</v>
      </c>
      <c r="T70" s="17">
        <f t="shared" si="27"/>
        <v>0</v>
      </c>
      <c r="U70" s="17">
        <f t="shared" si="28"/>
        <v>0</v>
      </c>
      <c r="V70" s="17">
        <f t="shared" si="29"/>
        <v>0</v>
      </c>
      <c r="X70" s="22">
        <v>0</v>
      </c>
      <c r="Y70" s="22">
        <f t="shared" si="30"/>
        <v>0</v>
      </c>
      <c r="Z70" s="22">
        <f t="shared" si="31"/>
        <v>0</v>
      </c>
      <c r="AA70" s="22">
        <f t="shared" si="32"/>
        <v>0</v>
      </c>
      <c r="AB70" s="22">
        <f t="shared" si="33"/>
        <v>0</v>
      </c>
      <c r="AC70" s="22">
        <f t="shared" si="34"/>
        <v>0</v>
      </c>
      <c r="AD70" s="22">
        <f t="shared" si="35"/>
        <v>0</v>
      </c>
      <c r="AE70" s="22">
        <f t="shared" si="36"/>
        <v>0</v>
      </c>
      <c r="AF70" s="21">
        <v>0</v>
      </c>
      <c r="AG70" s="19"/>
      <c r="AH70" s="20">
        <f t="shared" si="37"/>
        <v>0</v>
      </c>
    </row>
    <row r="71" spans="2:34" x14ac:dyDescent="0.25">
      <c r="B71" s="11">
        <v>46</v>
      </c>
      <c r="C71" s="5">
        <f t="shared" si="40"/>
        <v>3</v>
      </c>
      <c r="D71" s="5">
        <f t="shared" si="40"/>
        <v>0</v>
      </c>
      <c r="E71" s="5">
        <f t="shared" si="40"/>
        <v>0</v>
      </c>
      <c r="F71" s="5">
        <f t="shared" si="40"/>
        <v>40</v>
      </c>
      <c r="G71" s="5">
        <f t="shared" si="40"/>
        <v>0</v>
      </c>
      <c r="H71" s="5">
        <f t="shared" si="40"/>
        <v>0</v>
      </c>
      <c r="I71" s="5">
        <f t="shared" si="40"/>
        <v>0</v>
      </c>
      <c r="J71" s="5">
        <f t="shared" si="40"/>
        <v>11</v>
      </c>
      <c r="K71" s="13">
        <f t="shared" si="40"/>
        <v>0</v>
      </c>
      <c r="M71" s="1">
        <v>46</v>
      </c>
      <c r="N71" s="16">
        <f t="shared" si="21"/>
        <v>0</v>
      </c>
      <c r="O71" s="16">
        <f t="shared" si="22"/>
        <v>0</v>
      </c>
      <c r="P71" s="16">
        <f t="shared" si="23"/>
        <v>0</v>
      </c>
      <c r="Q71" s="16">
        <f t="shared" si="24"/>
        <v>0</v>
      </c>
      <c r="R71" s="17">
        <f t="shared" si="25"/>
        <v>0</v>
      </c>
      <c r="S71" s="17">
        <f t="shared" si="26"/>
        <v>0</v>
      </c>
      <c r="T71" s="17">
        <f t="shared" si="27"/>
        <v>0</v>
      </c>
      <c r="U71" s="17">
        <f t="shared" si="28"/>
        <v>0</v>
      </c>
      <c r="V71" s="17">
        <f t="shared" si="29"/>
        <v>0</v>
      </c>
      <c r="X71" s="22">
        <v>0</v>
      </c>
      <c r="Y71" s="22">
        <f t="shared" si="30"/>
        <v>0</v>
      </c>
      <c r="Z71" s="22">
        <f t="shared" si="31"/>
        <v>0</v>
      </c>
      <c r="AA71" s="22">
        <f t="shared" si="32"/>
        <v>0</v>
      </c>
      <c r="AB71" s="22">
        <f t="shared" si="33"/>
        <v>0</v>
      </c>
      <c r="AC71" s="22">
        <f t="shared" si="34"/>
        <v>0</v>
      </c>
      <c r="AD71" s="22">
        <f t="shared" si="35"/>
        <v>0</v>
      </c>
      <c r="AE71" s="22">
        <f t="shared" si="36"/>
        <v>0</v>
      </c>
      <c r="AF71" s="21">
        <v>0</v>
      </c>
      <c r="AG71" s="19"/>
      <c r="AH71" s="20">
        <f t="shared" si="37"/>
        <v>0</v>
      </c>
    </row>
    <row r="72" spans="2:34" x14ac:dyDescent="0.25">
      <c r="B72" s="11">
        <v>47</v>
      </c>
      <c r="C72" s="5">
        <f t="shared" si="40"/>
        <v>0</v>
      </c>
      <c r="D72" s="5">
        <f t="shared" si="40"/>
        <v>0</v>
      </c>
      <c r="E72" s="5">
        <f t="shared" si="40"/>
        <v>22</v>
      </c>
      <c r="F72" s="5">
        <f t="shared" si="40"/>
        <v>0</v>
      </c>
      <c r="G72" s="5">
        <f t="shared" si="40"/>
        <v>0</v>
      </c>
      <c r="H72" s="5">
        <f t="shared" si="40"/>
        <v>0</v>
      </c>
      <c r="I72" s="5">
        <f t="shared" si="40"/>
        <v>26</v>
      </c>
      <c r="J72" s="5">
        <f t="shared" si="40"/>
        <v>30</v>
      </c>
      <c r="K72" s="13">
        <f t="shared" si="40"/>
        <v>0</v>
      </c>
      <c r="M72" s="1">
        <v>47</v>
      </c>
      <c r="N72" s="16">
        <f t="shared" si="21"/>
        <v>0</v>
      </c>
      <c r="O72" s="16">
        <f t="shared" si="22"/>
        <v>0</v>
      </c>
      <c r="P72" s="16">
        <f t="shared" si="23"/>
        <v>0</v>
      </c>
      <c r="Q72" s="16">
        <f t="shared" si="24"/>
        <v>0</v>
      </c>
      <c r="R72" s="17">
        <f t="shared" si="25"/>
        <v>0</v>
      </c>
      <c r="S72" s="17">
        <f t="shared" si="26"/>
        <v>0</v>
      </c>
      <c r="T72" s="17">
        <f t="shared" si="27"/>
        <v>0</v>
      </c>
      <c r="U72" s="17">
        <f t="shared" si="28"/>
        <v>0</v>
      </c>
      <c r="V72" s="17">
        <f t="shared" si="29"/>
        <v>0</v>
      </c>
      <c r="X72" s="22">
        <v>0</v>
      </c>
      <c r="Y72" s="22">
        <f t="shared" si="30"/>
        <v>0</v>
      </c>
      <c r="Z72" s="22">
        <f t="shared" si="31"/>
        <v>0</v>
      </c>
      <c r="AA72" s="22">
        <f t="shared" si="32"/>
        <v>0</v>
      </c>
      <c r="AB72" s="22">
        <f t="shared" si="33"/>
        <v>0</v>
      </c>
      <c r="AC72" s="22">
        <f t="shared" si="34"/>
        <v>0</v>
      </c>
      <c r="AD72" s="22">
        <f t="shared" si="35"/>
        <v>0</v>
      </c>
      <c r="AE72" s="22">
        <f t="shared" si="36"/>
        <v>0</v>
      </c>
      <c r="AF72" s="21">
        <v>0</v>
      </c>
      <c r="AG72" s="19"/>
      <c r="AH72" s="20">
        <f t="shared" si="37"/>
        <v>0</v>
      </c>
    </row>
    <row r="73" spans="2:34" x14ac:dyDescent="0.25">
      <c r="B73" s="11">
        <v>48</v>
      </c>
      <c r="C73" s="5">
        <f t="shared" si="40"/>
        <v>0</v>
      </c>
      <c r="D73" s="5">
        <f t="shared" si="40"/>
        <v>0</v>
      </c>
      <c r="E73" s="5">
        <f t="shared" si="40"/>
        <v>22</v>
      </c>
      <c r="F73" s="5">
        <f t="shared" si="40"/>
        <v>40</v>
      </c>
      <c r="G73" s="5">
        <f t="shared" si="40"/>
        <v>0</v>
      </c>
      <c r="H73" s="5">
        <f t="shared" si="40"/>
        <v>0</v>
      </c>
      <c r="I73" s="5">
        <f t="shared" si="40"/>
        <v>0</v>
      </c>
      <c r="J73" s="5">
        <f t="shared" si="40"/>
        <v>11</v>
      </c>
      <c r="K73" s="13">
        <f t="shared" si="40"/>
        <v>0</v>
      </c>
      <c r="M73" s="1">
        <v>48</v>
      </c>
      <c r="N73" s="16">
        <f t="shared" si="21"/>
        <v>0</v>
      </c>
      <c r="O73" s="16">
        <f t="shared" si="22"/>
        <v>0</v>
      </c>
      <c r="P73" s="16">
        <f t="shared" si="23"/>
        <v>0</v>
      </c>
      <c r="Q73" s="16">
        <f t="shared" si="24"/>
        <v>0</v>
      </c>
      <c r="R73" s="17">
        <f t="shared" si="25"/>
        <v>0</v>
      </c>
      <c r="S73" s="17">
        <f t="shared" si="26"/>
        <v>0</v>
      </c>
      <c r="T73" s="17">
        <f t="shared" si="27"/>
        <v>0</v>
      </c>
      <c r="U73" s="17">
        <f t="shared" si="28"/>
        <v>0</v>
      </c>
      <c r="V73" s="17">
        <f t="shared" si="29"/>
        <v>0</v>
      </c>
      <c r="X73" s="22">
        <v>0</v>
      </c>
      <c r="Y73" s="22">
        <f t="shared" si="30"/>
        <v>0</v>
      </c>
      <c r="Z73" s="22">
        <f t="shared" si="31"/>
        <v>0</v>
      </c>
      <c r="AA73" s="22">
        <f t="shared" si="32"/>
        <v>0</v>
      </c>
      <c r="AB73" s="22">
        <f t="shared" si="33"/>
        <v>0</v>
      </c>
      <c r="AC73" s="22">
        <f t="shared" si="34"/>
        <v>0</v>
      </c>
      <c r="AD73" s="22">
        <f t="shared" si="35"/>
        <v>0</v>
      </c>
      <c r="AE73" s="22">
        <f t="shared" si="36"/>
        <v>0</v>
      </c>
      <c r="AF73" s="21">
        <v>0</v>
      </c>
      <c r="AG73" s="19"/>
      <c r="AH73" s="20">
        <f t="shared" si="37"/>
        <v>0</v>
      </c>
    </row>
    <row r="74" spans="2:34" x14ac:dyDescent="0.25">
      <c r="B74" s="11">
        <v>49</v>
      </c>
      <c r="C74" s="5">
        <f t="shared" si="40"/>
        <v>0</v>
      </c>
      <c r="D74" s="5">
        <f t="shared" si="40"/>
        <v>0</v>
      </c>
      <c r="E74" s="5">
        <f t="shared" si="40"/>
        <v>0</v>
      </c>
      <c r="F74" s="5">
        <f t="shared" si="40"/>
        <v>13</v>
      </c>
      <c r="G74" s="5">
        <f t="shared" si="40"/>
        <v>33</v>
      </c>
      <c r="H74" s="5">
        <f t="shared" si="40"/>
        <v>0</v>
      </c>
      <c r="I74" s="5">
        <f t="shared" si="40"/>
        <v>21</v>
      </c>
      <c r="J74" s="5">
        <f t="shared" si="40"/>
        <v>0</v>
      </c>
      <c r="K74" s="13">
        <f t="shared" si="40"/>
        <v>0</v>
      </c>
      <c r="M74" s="1">
        <v>49</v>
      </c>
      <c r="N74" s="16">
        <f t="shared" si="21"/>
        <v>0</v>
      </c>
      <c r="O74" s="16">
        <f t="shared" si="22"/>
        <v>0</v>
      </c>
      <c r="P74" s="16">
        <f t="shared" si="23"/>
        <v>0</v>
      </c>
      <c r="Q74" s="16">
        <f t="shared" si="24"/>
        <v>0</v>
      </c>
      <c r="R74" s="17">
        <f t="shared" si="25"/>
        <v>0</v>
      </c>
      <c r="S74" s="17">
        <f t="shared" si="26"/>
        <v>0</v>
      </c>
      <c r="T74" s="17">
        <f t="shared" si="27"/>
        <v>0</v>
      </c>
      <c r="U74" s="17">
        <f t="shared" si="28"/>
        <v>0</v>
      </c>
      <c r="V74" s="17">
        <f t="shared" si="29"/>
        <v>0</v>
      </c>
      <c r="X74" s="22">
        <v>0</v>
      </c>
      <c r="Y74" s="22">
        <f t="shared" si="30"/>
        <v>0</v>
      </c>
      <c r="Z74" s="22">
        <f t="shared" si="31"/>
        <v>0</v>
      </c>
      <c r="AA74" s="22">
        <f t="shared" si="32"/>
        <v>0</v>
      </c>
      <c r="AB74" s="22">
        <f t="shared" si="33"/>
        <v>0</v>
      </c>
      <c r="AC74" s="22">
        <f t="shared" si="34"/>
        <v>0</v>
      </c>
      <c r="AD74" s="22">
        <f t="shared" si="35"/>
        <v>0</v>
      </c>
      <c r="AE74" s="22">
        <f t="shared" si="36"/>
        <v>0</v>
      </c>
      <c r="AF74" s="21">
        <v>0</v>
      </c>
      <c r="AG74" s="19"/>
      <c r="AH74" s="20">
        <f t="shared" si="37"/>
        <v>0</v>
      </c>
    </row>
    <row r="75" spans="2:34" x14ac:dyDescent="0.25">
      <c r="B75" s="11">
        <v>50</v>
      </c>
      <c r="C75" s="5">
        <f t="shared" si="40"/>
        <v>0</v>
      </c>
      <c r="D75" s="5">
        <f t="shared" si="40"/>
        <v>29</v>
      </c>
      <c r="E75" s="5">
        <f t="shared" si="40"/>
        <v>0</v>
      </c>
      <c r="F75" s="5">
        <f t="shared" si="40"/>
        <v>0</v>
      </c>
      <c r="G75" s="5">
        <f t="shared" si="40"/>
        <v>0</v>
      </c>
      <c r="H75" s="5">
        <f t="shared" si="40"/>
        <v>0</v>
      </c>
      <c r="I75" s="5">
        <f t="shared" si="40"/>
        <v>15</v>
      </c>
      <c r="J75" s="5">
        <f t="shared" si="40"/>
        <v>17</v>
      </c>
      <c r="K75" s="13">
        <f t="shared" si="40"/>
        <v>0</v>
      </c>
      <c r="M75" s="1">
        <v>50</v>
      </c>
      <c r="N75" s="16">
        <f t="shared" si="21"/>
        <v>0</v>
      </c>
      <c r="O75" s="16">
        <f t="shared" si="22"/>
        <v>0</v>
      </c>
      <c r="P75" s="16">
        <f t="shared" si="23"/>
        <v>0</v>
      </c>
      <c r="Q75" s="16">
        <f t="shared" si="24"/>
        <v>0</v>
      </c>
      <c r="R75" s="17">
        <f t="shared" si="25"/>
        <v>0</v>
      </c>
      <c r="S75" s="17">
        <f t="shared" si="26"/>
        <v>0</v>
      </c>
      <c r="T75" s="17">
        <f t="shared" si="27"/>
        <v>0</v>
      </c>
      <c r="U75" s="17">
        <f t="shared" si="28"/>
        <v>0</v>
      </c>
      <c r="V75" s="17">
        <f t="shared" si="29"/>
        <v>0</v>
      </c>
      <c r="X75" s="22">
        <v>0</v>
      </c>
      <c r="Y75" s="22">
        <f t="shared" si="30"/>
        <v>0</v>
      </c>
      <c r="Z75" s="22">
        <f t="shared" si="31"/>
        <v>0</v>
      </c>
      <c r="AA75" s="22">
        <f t="shared" si="32"/>
        <v>0</v>
      </c>
      <c r="AB75" s="22">
        <f t="shared" si="33"/>
        <v>0</v>
      </c>
      <c r="AC75" s="22">
        <f t="shared" si="34"/>
        <v>0</v>
      </c>
      <c r="AD75" s="22">
        <f t="shared" si="35"/>
        <v>0</v>
      </c>
      <c r="AE75" s="22">
        <f t="shared" si="36"/>
        <v>0</v>
      </c>
      <c r="AF75" s="21">
        <v>0</v>
      </c>
      <c r="AG75" s="19"/>
      <c r="AH75" s="20">
        <f t="shared" si="37"/>
        <v>0</v>
      </c>
    </row>
  </sheetData>
  <mergeCells count="10">
    <mergeCell ref="AK24:AM24"/>
    <mergeCell ref="B1:AH1"/>
    <mergeCell ref="B23:K23"/>
    <mergeCell ref="N25:V25"/>
    <mergeCell ref="X25:AF25"/>
    <mergeCell ref="X4:AF4"/>
    <mergeCell ref="N4:V4"/>
    <mergeCell ref="N12:V12"/>
    <mergeCell ref="C4:K4"/>
    <mergeCell ref="B21:AH21"/>
  </mergeCells>
  <phoneticPr fontId="0" type="noConversion"/>
  <conditionalFormatting sqref="N26:V75 X5:AG10 N5:V10 N13:V18">
    <cfRule type="cellIs" dxfId="4" priority="1" stopIfTrue="1" operator="greaterThan">
      <formula>0</formula>
    </cfRule>
  </conditionalFormatting>
  <conditionalFormatting sqref="X26:AH75">
    <cfRule type="cellIs" dxfId="3" priority="2" stopIfTrue="1" operator="greaterThan">
      <formula>0</formula>
    </cfRule>
  </conditionalFormatting>
  <conditionalFormatting sqref="C26:K75">
    <cfRule type="cellIs" dxfId="2" priority="3" stopIfTrue="1" operator="equal">
      <formula>0</formula>
    </cfRule>
    <cfRule type="cellIs" dxfId="1" priority="4" stopIfTrue="1" operator="equal">
      <formula>"Clash"</formula>
    </cfRule>
  </conditionalFormatting>
  <conditionalFormatting sqref="D5">
    <cfRule type="expression" dxfId="0" priority="5" stopIfTrue="1">
      <formula>"countif($d$5..$h$7,c5)&gt;1"</formula>
    </cfRule>
  </conditionalFormatting>
  <pageMargins left="0.75" right="0.75" top="1" bottom="1" header="0.5" footer="0.5"/>
  <pageSetup paperSize="9" scale="48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firstAssignment">
                <anchor moveWithCells="1" sizeWithCells="1">
                  <from>
                    <xdr:col>35</xdr:col>
                    <xdr:colOff>291993</xdr:colOff>
                    <xdr:row>35</xdr:row>
                    <xdr:rowOff>15368</xdr:rowOff>
                  </from>
                  <to>
                    <xdr:col>39</xdr:col>
                    <xdr:colOff>30736</xdr:colOff>
                    <xdr:row>36</xdr:row>
                    <xdr:rowOff>107576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rowSwap">
                <anchor moveWithCells="1" sizeWithCells="1">
                  <from>
                    <xdr:col>35</xdr:col>
                    <xdr:colOff>145997</xdr:colOff>
                    <xdr:row>17</xdr:row>
                    <xdr:rowOff>15368</xdr:rowOff>
                  </from>
                  <to>
                    <xdr:col>35</xdr:col>
                    <xdr:colOff>376518</xdr:colOff>
                    <xdr:row>18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rowSwapT">
                <anchor moveWithCells="1" sizeWithCells="1">
                  <from>
                    <xdr:col>35</xdr:col>
                    <xdr:colOff>145997</xdr:colOff>
                    <xdr:row>18</xdr:row>
                    <xdr:rowOff>15368</xdr:rowOff>
                  </from>
                  <to>
                    <xdr:col>35</xdr:col>
                    <xdr:colOff>376518</xdr:colOff>
                    <xdr:row>19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colSwap">
                <anchor moveWithCells="1" sizeWithCells="1">
                  <from>
                    <xdr:col>35</xdr:col>
                    <xdr:colOff>145997</xdr:colOff>
                    <xdr:row>19</xdr:row>
                    <xdr:rowOff>23052</xdr:rowOff>
                  </from>
                  <to>
                    <xdr:col>35</xdr:col>
                    <xdr:colOff>376518</xdr:colOff>
                    <xdr:row>20</xdr:row>
                    <xdr:rowOff>23052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Button 16">
              <controlPr defaultSize="0" print="0" autoFill="0" autoPict="0" macro="[0]!colSwapT">
                <anchor moveWithCells="1" sizeWithCells="1">
                  <from>
                    <xdr:col>35</xdr:col>
                    <xdr:colOff>145997</xdr:colOff>
                    <xdr:row>20</xdr:row>
                    <xdr:rowOff>23052</xdr:rowOff>
                  </from>
                  <to>
                    <xdr:col>35</xdr:col>
                    <xdr:colOff>376518</xdr:colOff>
                    <xdr:row>20</xdr:row>
                    <xdr:rowOff>153681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Button 17">
              <controlPr defaultSize="0" print="0" autoFill="0" autoPict="0" macro="[0]!Macro3">
                <anchor moveWithCells="1" sizeWithCells="1">
                  <from>
                    <xdr:col>35</xdr:col>
                    <xdr:colOff>145997</xdr:colOff>
                    <xdr:row>21</xdr:row>
                    <xdr:rowOff>7684</xdr:rowOff>
                  </from>
                  <to>
                    <xdr:col>35</xdr:col>
                    <xdr:colOff>376518</xdr:colOff>
                    <xdr:row>22</xdr:row>
                    <xdr:rowOff>7684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Macro3t">
                <anchor moveWithCells="1" sizeWithCells="1">
                  <from>
                    <xdr:col>35</xdr:col>
                    <xdr:colOff>145997</xdr:colOff>
                    <xdr:row>22</xdr:row>
                    <xdr:rowOff>7684</xdr:rowOff>
                  </from>
                  <to>
                    <xdr:col>35</xdr:col>
                    <xdr:colOff>376518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randomReassign">
                <anchor moveWithCells="1" sizeWithCells="1">
                  <from>
                    <xdr:col>35</xdr:col>
                    <xdr:colOff>145997</xdr:colOff>
                    <xdr:row>23</xdr:row>
                    <xdr:rowOff>7684</xdr:rowOff>
                  </from>
                  <to>
                    <xdr:col>35</xdr:col>
                    <xdr:colOff>376518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randomHH">
                <anchor moveWithCells="1" sizeWithCells="1">
                  <from>
                    <xdr:col>35</xdr:col>
                    <xdr:colOff>0</xdr:colOff>
                    <xdr:row>30</xdr:row>
                    <xdr:rowOff>0</xdr:rowOff>
                  </from>
                  <to>
                    <xdr:col>36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Button 23">
              <controlPr defaultSize="0" print="0" autoFill="0" autoPict="0" macro="[0]!sequentialHH">
                <anchor moveWithCells="1" sizeWithCells="1">
                  <from>
                    <xdr:col>35</xdr:col>
                    <xdr:colOff>0</xdr:colOff>
                    <xdr:row>31</xdr:row>
                    <xdr:rowOff>0</xdr:rowOff>
                  </from>
                  <to>
                    <xdr:col>36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4" name="Button 33">
              <controlPr defaultSize="0" print="0" autoFill="0" autoPict="0" macro="[0]!random">
                <anchor moveWithCells="1" sizeWithCells="1">
                  <from>
                    <xdr:col>36</xdr:col>
                    <xdr:colOff>0</xdr:colOff>
                    <xdr:row>25</xdr:row>
                    <xdr:rowOff>0</xdr:rowOff>
                  </from>
                  <to>
                    <xdr:col>39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5" name="Button 34">
              <controlPr defaultSize="0" print="0" autoFill="0" autoPict="0" macro="[0]!performanceHH">
                <anchor moveWithCells="1">
                  <from>
                    <xdr:col>35</xdr:col>
                    <xdr:colOff>7684</xdr:colOff>
                    <xdr:row>32</xdr:row>
                    <xdr:rowOff>15368</xdr:rowOff>
                  </from>
                  <to>
                    <xdr:col>35</xdr:col>
                    <xdr:colOff>484094</xdr:colOff>
                    <xdr:row>32</xdr:row>
                    <xdr:rowOff>169049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Z137"/>
  <sheetViews>
    <sheetView topLeftCell="A7" workbookViewId="0">
      <selection activeCell="F12" sqref="F12"/>
    </sheetView>
  </sheetViews>
  <sheetFormatPr defaultColWidth="8.88671875" defaultRowHeight="10.3" x14ac:dyDescent="0.2"/>
  <cols>
    <col min="1" max="1" width="12.5546875" style="46" bestFit="1" customWidth="1"/>
    <col min="2" max="2" width="6.109375" style="46" customWidth="1"/>
    <col min="3" max="50" width="2.6640625" style="46" customWidth="1"/>
    <col min="51" max="51" width="3.33203125" style="46" customWidth="1"/>
    <col min="52" max="56" width="2.6640625" style="46" customWidth="1"/>
    <col min="57" max="16384" width="8.88671875" style="46"/>
  </cols>
  <sheetData>
    <row r="1" spans="1:56" x14ac:dyDescent="0.2">
      <c r="A1" s="46" t="s">
        <v>24</v>
      </c>
      <c r="B1" s="46">
        <v>6</v>
      </c>
    </row>
    <row r="2" spans="1:56" x14ac:dyDescent="0.2">
      <c r="A2" s="46" t="s">
        <v>25</v>
      </c>
      <c r="B2" s="46">
        <v>3</v>
      </c>
    </row>
    <row r="3" spans="1:56" x14ac:dyDescent="0.2">
      <c r="A3" s="46" t="s">
        <v>26</v>
      </c>
      <c r="B3" s="46">
        <v>9</v>
      </c>
    </row>
    <row r="4" spans="1:56" x14ac:dyDescent="0.2">
      <c r="A4" s="46" t="s">
        <v>27</v>
      </c>
      <c r="B4" s="46">
        <v>40</v>
      </c>
    </row>
    <row r="5" spans="1:56" x14ac:dyDescent="0.2">
      <c r="A5" s="46" t="s">
        <v>23</v>
      </c>
      <c r="B5" s="46">
        <v>50</v>
      </c>
    </row>
    <row r="7" spans="1:56" x14ac:dyDescent="0.2">
      <c r="A7" s="47"/>
      <c r="B7" s="47"/>
      <c r="C7" s="48" t="s">
        <v>3</v>
      </c>
      <c r="D7" s="47"/>
      <c r="F7" s="47" t="s">
        <v>22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56" x14ac:dyDescent="0.2">
      <c r="A8" s="47"/>
      <c r="B8" s="47"/>
      <c r="C8" s="48">
        <v>1</v>
      </c>
      <c r="D8" s="48">
        <v>2</v>
      </c>
      <c r="E8" s="48">
        <v>3</v>
      </c>
      <c r="F8" s="49">
        <v>4</v>
      </c>
      <c r="G8" s="49">
        <v>5</v>
      </c>
      <c r="H8" s="49">
        <v>6</v>
      </c>
      <c r="I8" s="47"/>
      <c r="J8" s="47"/>
      <c r="K8" s="47"/>
      <c r="L8" s="47"/>
      <c r="M8" s="47" t="s">
        <v>40</v>
      </c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56" x14ac:dyDescent="0.2">
      <c r="A9" s="48" t="s">
        <v>1</v>
      </c>
      <c r="B9" s="48">
        <v>1</v>
      </c>
      <c r="C9" s="47">
        <v>0</v>
      </c>
      <c r="D9" s="47">
        <v>0</v>
      </c>
      <c r="E9" s="47">
        <v>1</v>
      </c>
      <c r="F9" s="47">
        <v>0</v>
      </c>
      <c r="G9" s="47">
        <v>0</v>
      </c>
      <c r="H9" s="47">
        <v>1</v>
      </c>
      <c r="I9" s="47"/>
      <c r="J9" s="47"/>
      <c r="K9" s="47">
        <v>0</v>
      </c>
      <c r="L9" s="47">
        <v>0</v>
      </c>
      <c r="M9" s="47">
        <v>1</v>
      </c>
      <c r="N9" s="47">
        <v>1</v>
      </c>
      <c r="O9" s="47">
        <v>0</v>
      </c>
      <c r="P9" s="47">
        <v>1</v>
      </c>
      <c r="Q9" s="47"/>
      <c r="R9" s="47"/>
      <c r="S9" s="47"/>
      <c r="T9" s="47"/>
      <c r="U9" s="47"/>
      <c r="V9" s="47"/>
      <c r="W9" s="47"/>
      <c r="X9" s="47"/>
    </row>
    <row r="10" spans="1:56" x14ac:dyDescent="0.2">
      <c r="A10" s="47"/>
      <c r="B10" s="48">
        <v>2</v>
      </c>
      <c r="C10" s="47">
        <v>0</v>
      </c>
      <c r="D10" s="47">
        <v>1</v>
      </c>
      <c r="E10" s="50">
        <v>0</v>
      </c>
      <c r="F10" s="50">
        <v>0</v>
      </c>
      <c r="G10" s="50">
        <v>1</v>
      </c>
      <c r="H10" s="47">
        <v>1</v>
      </c>
      <c r="I10" s="47"/>
      <c r="J10" s="47"/>
      <c r="K10" s="47">
        <v>0</v>
      </c>
      <c r="L10" s="47">
        <v>1</v>
      </c>
      <c r="M10" s="50">
        <v>0</v>
      </c>
      <c r="N10" s="50">
        <v>1</v>
      </c>
      <c r="O10" s="50">
        <v>0</v>
      </c>
      <c r="P10" s="47">
        <v>0</v>
      </c>
      <c r="Q10" s="47"/>
      <c r="R10" s="47"/>
      <c r="S10" s="47"/>
      <c r="T10" s="47"/>
      <c r="U10" s="47"/>
      <c r="V10" s="47"/>
      <c r="W10" s="47"/>
      <c r="X10" s="47"/>
    </row>
    <row r="11" spans="1:56" x14ac:dyDescent="0.2">
      <c r="A11" s="47"/>
      <c r="B11" s="48">
        <v>3</v>
      </c>
      <c r="C11" s="47">
        <v>1</v>
      </c>
      <c r="D11" s="47">
        <v>0</v>
      </c>
      <c r="E11" s="47">
        <v>0</v>
      </c>
      <c r="F11" s="47">
        <v>0</v>
      </c>
      <c r="G11" s="47">
        <v>1</v>
      </c>
      <c r="H11" s="47">
        <v>0</v>
      </c>
      <c r="I11" s="47"/>
      <c r="J11" s="47"/>
      <c r="K11" s="47">
        <v>0</v>
      </c>
      <c r="L11" s="47">
        <v>1</v>
      </c>
      <c r="M11" s="47">
        <v>1</v>
      </c>
      <c r="N11" s="47">
        <v>0</v>
      </c>
      <c r="O11" s="47">
        <v>1</v>
      </c>
      <c r="P11" s="47">
        <v>0</v>
      </c>
      <c r="Q11" s="47"/>
      <c r="R11" s="47"/>
      <c r="S11" s="47"/>
      <c r="T11" s="47"/>
      <c r="U11" s="47"/>
      <c r="V11" s="47"/>
      <c r="W11" s="47"/>
      <c r="X11" s="47"/>
    </row>
    <row r="12" spans="1:56" x14ac:dyDescent="0.2">
      <c r="A12" s="47"/>
      <c r="B12" s="48" t="s">
        <v>18</v>
      </c>
      <c r="C12" s="47">
        <v>10</v>
      </c>
      <c r="D12" s="47">
        <v>10</v>
      </c>
      <c r="E12" s="47">
        <v>9</v>
      </c>
      <c r="F12" s="47">
        <v>9</v>
      </c>
      <c r="G12" s="47">
        <v>8</v>
      </c>
      <c r="H12" s="47">
        <v>8</v>
      </c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</row>
    <row r="13" spans="1:56" x14ac:dyDescent="0.2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</row>
    <row r="14" spans="1:56" x14ac:dyDescent="0.2">
      <c r="A14" s="47"/>
      <c r="B14" s="48"/>
      <c r="C14" s="48" t="s">
        <v>2</v>
      </c>
      <c r="D14" s="47"/>
      <c r="F14" s="47" t="s">
        <v>20</v>
      </c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</row>
    <row r="15" spans="1:56" x14ac:dyDescent="0.2">
      <c r="A15" s="47"/>
      <c r="B15" s="48"/>
      <c r="C15" s="49">
        <v>1</v>
      </c>
      <c r="D15" s="48">
        <v>2</v>
      </c>
      <c r="E15" s="48">
        <v>3</v>
      </c>
      <c r="F15" s="48">
        <v>4</v>
      </c>
      <c r="G15" s="48">
        <v>5</v>
      </c>
      <c r="H15" s="48">
        <v>6</v>
      </c>
      <c r="I15" s="48">
        <v>7</v>
      </c>
      <c r="J15" s="48">
        <v>8</v>
      </c>
      <c r="K15" s="48">
        <v>9</v>
      </c>
      <c r="L15" s="48">
        <v>10</v>
      </c>
      <c r="M15" s="48">
        <v>11</v>
      </c>
      <c r="N15" s="48">
        <v>12</v>
      </c>
      <c r="O15" s="48">
        <v>13</v>
      </c>
      <c r="P15" s="48">
        <v>14</v>
      </c>
      <c r="Q15" s="48">
        <v>15</v>
      </c>
      <c r="R15" s="48">
        <v>16</v>
      </c>
      <c r="S15" s="48">
        <v>17</v>
      </c>
      <c r="T15" s="48">
        <v>18</v>
      </c>
      <c r="U15" s="48">
        <v>19</v>
      </c>
      <c r="V15" s="48">
        <v>20</v>
      </c>
      <c r="W15" s="48">
        <v>21</v>
      </c>
      <c r="X15" s="48">
        <v>22</v>
      </c>
      <c r="Y15" s="48">
        <v>23</v>
      </c>
      <c r="Z15" s="48">
        <v>24</v>
      </c>
      <c r="AA15" s="48">
        <v>25</v>
      </c>
      <c r="AB15" s="48">
        <v>26</v>
      </c>
      <c r="AC15" s="48">
        <v>27</v>
      </c>
      <c r="AD15" s="48">
        <v>28</v>
      </c>
      <c r="AE15" s="48">
        <v>29</v>
      </c>
      <c r="AF15" s="48">
        <v>30</v>
      </c>
      <c r="AG15" s="48">
        <v>31</v>
      </c>
      <c r="AH15" s="48">
        <v>32</v>
      </c>
      <c r="AI15" s="48">
        <v>33</v>
      </c>
      <c r="AJ15" s="48">
        <v>34</v>
      </c>
      <c r="AK15" s="48">
        <v>35</v>
      </c>
      <c r="AL15" s="48">
        <v>36</v>
      </c>
      <c r="AM15" s="48">
        <v>37</v>
      </c>
      <c r="AN15" s="48">
        <v>38</v>
      </c>
      <c r="AO15" s="48">
        <v>39</v>
      </c>
      <c r="AP15" s="48">
        <v>40</v>
      </c>
      <c r="AQ15" s="48">
        <v>41</v>
      </c>
      <c r="AR15" s="48">
        <v>42</v>
      </c>
      <c r="AS15" s="48">
        <v>43</v>
      </c>
      <c r="AT15" s="48">
        <v>44</v>
      </c>
      <c r="AU15" s="48">
        <v>45</v>
      </c>
      <c r="AV15" s="48">
        <v>46</v>
      </c>
      <c r="AW15" s="48">
        <v>47</v>
      </c>
      <c r="AX15" s="48">
        <v>48</v>
      </c>
      <c r="AY15" s="48"/>
      <c r="AZ15" s="48"/>
      <c r="BA15" s="48"/>
      <c r="BB15" s="48"/>
      <c r="BC15" s="48"/>
      <c r="BD15" s="48"/>
    </row>
    <row r="16" spans="1:56" x14ac:dyDescent="0.2">
      <c r="A16" s="48" t="s">
        <v>11</v>
      </c>
      <c r="B16" s="48">
        <v>1</v>
      </c>
      <c r="C16" s="47">
        <v>1</v>
      </c>
      <c r="D16" s="47">
        <v>1</v>
      </c>
      <c r="E16" s="47">
        <v>0</v>
      </c>
      <c r="F16" s="47">
        <v>0</v>
      </c>
      <c r="G16" s="47">
        <v>0</v>
      </c>
      <c r="H16" s="47">
        <v>0</v>
      </c>
      <c r="I16" s="47">
        <v>1</v>
      </c>
      <c r="J16" s="47">
        <v>0</v>
      </c>
      <c r="K16" s="47">
        <v>1</v>
      </c>
      <c r="L16" s="47">
        <v>0</v>
      </c>
      <c r="M16" s="47">
        <v>0</v>
      </c>
      <c r="N16" s="47">
        <v>0</v>
      </c>
      <c r="O16" s="47">
        <v>1</v>
      </c>
      <c r="P16" s="47">
        <v>0</v>
      </c>
      <c r="Q16" s="47">
        <v>0</v>
      </c>
      <c r="R16" s="47">
        <v>1</v>
      </c>
      <c r="S16" s="47">
        <v>1</v>
      </c>
      <c r="T16" s="47">
        <v>0</v>
      </c>
      <c r="U16" s="47">
        <v>0</v>
      </c>
      <c r="V16" s="47">
        <v>1</v>
      </c>
      <c r="W16" s="47">
        <v>0</v>
      </c>
      <c r="X16" s="47">
        <v>1</v>
      </c>
      <c r="Y16" s="47">
        <v>0</v>
      </c>
      <c r="Z16" s="47">
        <v>1</v>
      </c>
      <c r="AA16" s="47">
        <v>0</v>
      </c>
      <c r="AB16" s="47">
        <v>1</v>
      </c>
      <c r="AC16" s="47">
        <v>1</v>
      </c>
      <c r="AD16" s="47">
        <v>1</v>
      </c>
      <c r="AE16" s="46">
        <v>0</v>
      </c>
      <c r="AF16" s="47">
        <v>0</v>
      </c>
      <c r="AG16" s="47">
        <v>0</v>
      </c>
      <c r="AH16" s="47">
        <v>0</v>
      </c>
      <c r="AI16" s="47">
        <v>1</v>
      </c>
      <c r="AJ16" s="47">
        <v>0</v>
      </c>
      <c r="AK16" s="46">
        <v>1</v>
      </c>
      <c r="AL16" s="47">
        <v>0</v>
      </c>
      <c r="AM16" s="47">
        <v>0</v>
      </c>
      <c r="AN16" s="47">
        <v>0</v>
      </c>
      <c r="AO16" s="46">
        <v>0</v>
      </c>
      <c r="AP16" s="47">
        <v>0</v>
      </c>
      <c r="AQ16" s="47">
        <v>0</v>
      </c>
      <c r="AR16" s="47">
        <v>0</v>
      </c>
      <c r="AS16" s="47">
        <v>0</v>
      </c>
      <c r="AT16" s="47">
        <v>0</v>
      </c>
      <c r="AU16" s="47">
        <v>0</v>
      </c>
      <c r="AV16" s="47">
        <v>1</v>
      </c>
      <c r="AW16" s="46">
        <v>1</v>
      </c>
      <c r="AX16" s="47">
        <v>1</v>
      </c>
    </row>
    <row r="17" spans="1:50" x14ac:dyDescent="0.2">
      <c r="A17" s="47"/>
      <c r="B17" s="48">
        <v>2</v>
      </c>
      <c r="C17" s="46">
        <v>0</v>
      </c>
      <c r="D17" s="46">
        <v>0</v>
      </c>
      <c r="E17" s="47">
        <v>1</v>
      </c>
      <c r="F17" s="47">
        <v>1</v>
      </c>
      <c r="G17" s="46">
        <v>1</v>
      </c>
      <c r="H17" s="47">
        <v>0</v>
      </c>
      <c r="I17" s="50">
        <v>1</v>
      </c>
      <c r="J17" s="47">
        <v>0</v>
      </c>
      <c r="K17" s="50">
        <v>0</v>
      </c>
      <c r="L17" s="50">
        <v>0</v>
      </c>
      <c r="M17" s="47">
        <v>0</v>
      </c>
      <c r="N17" s="50">
        <v>1</v>
      </c>
      <c r="O17" s="47">
        <v>0</v>
      </c>
      <c r="P17" s="47">
        <v>1</v>
      </c>
      <c r="Q17" s="47">
        <v>0</v>
      </c>
      <c r="R17" s="47">
        <v>1</v>
      </c>
      <c r="S17" s="47">
        <v>0</v>
      </c>
      <c r="T17" s="50">
        <v>0</v>
      </c>
      <c r="U17" s="47">
        <v>0</v>
      </c>
      <c r="V17" s="47">
        <v>1</v>
      </c>
      <c r="W17" s="50">
        <v>1</v>
      </c>
      <c r="X17" s="47">
        <v>1</v>
      </c>
      <c r="Y17" s="46">
        <v>1</v>
      </c>
      <c r="Z17" s="47">
        <v>0</v>
      </c>
      <c r="AA17" s="46">
        <v>0</v>
      </c>
      <c r="AB17" s="50">
        <v>0</v>
      </c>
      <c r="AC17" s="47">
        <v>0</v>
      </c>
      <c r="AD17" s="46">
        <v>1</v>
      </c>
      <c r="AE17" s="46">
        <v>1</v>
      </c>
      <c r="AF17" s="46">
        <v>0</v>
      </c>
      <c r="AG17" s="46">
        <v>0</v>
      </c>
      <c r="AH17" s="47">
        <v>1</v>
      </c>
      <c r="AI17" s="46">
        <v>0</v>
      </c>
      <c r="AJ17" s="47">
        <v>0</v>
      </c>
      <c r="AK17" s="47">
        <v>0</v>
      </c>
      <c r="AL17" s="50">
        <v>0</v>
      </c>
      <c r="AM17" s="46">
        <v>1</v>
      </c>
      <c r="AN17" s="46">
        <v>0</v>
      </c>
      <c r="AO17" s="47">
        <v>1</v>
      </c>
      <c r="AP17" s="46">
        <v>1</v>
      </c>
      <c r="AQ17" s="47">
        <v>1</v>
      </c>
      <c r="AR17" s="47">
        <v>1</v>
      </c>
      <c r="AS17" s="46">
        <v>0</v>
      </c>
      <c r="AT17" s="50">
        <v>0</v>
      </c>
      <c r="AU17" s="47">
        <v>1</v>
      </c>
      <c r="AV17" s="50">
        <v>0</v>
      </c>
      <c r="AW17" s="46">
        <v>1</v>
      </c>
      <c r="AX17" s="47">
        <v>0</v>
      </c>
    </row>
    <row r="18" spans="1:50" x14ac:dyDescent="0.2">
      <c r="A18" s="47"/>
      <c r="B18" s="48">
        <v>3</v>
      </c>
      <c r="C18" s="46">
        <v>0</v>
      </c>
      <c r="D18" s="46">
        <v>1</v>
      </c>
      <c r="E18" s="50">
        <v>0</v>
      </c>
      <c r="F18" s="47">
        <v>0</v>
      </c>
      <c r="G18" s="46">
        <v>1</v>
      </c>
      <c r="H18" s="47">
        <v>1</v>
      </c>
      <c r="I18" s="47">
        <v>0</v>
      </c>
      <c r="J18" s="47">
        <v>1</v>
      </c>
      <c r="K18" s="47">
        <v>0</v>
      </c>
      <c r="L18" s="47">
        <v>1</v>
      </c>
      <c r="M18" s="47">
        <v>1</v>
      </c>
      <c r="N18" s="47">
        <v>1</v>
      </c>
      <c r="O18" s="47">
        <v>1</v>
      </c>
      <c r="P18" s="47">
        <v>0</v>
      </c>
      <c r="Q18" s="47">
        <v>0</v>
      </c>
      <c r="R18" s="47">
        <v>0</v>
      </c>
      <c r="S18" s="47">
        <v>0</v>
      </c>
      <c r="T18" s="47">
        <v>1</v>
      </c>
      <c r="U18" s="47">
        <v>1</v>
      </c>
      <c r="V18" s="47">
        <v>1</v>
      </c>
      <c r="W18" s="47">
        <v>0</v>
      </c>
      <c r="X18" s="47">
        <v>0</v>
      </c>
      <c r="Y18" s="47">
        <v>0</v>
      </c>
      <c r="Z18" s="50">
        <v>0</v>
      </c>
      <c r="AA18" s="47">
        <v>1</v>
      </c>
      <c r="AB18" s="47">
        <v>1</v>
      </c>
      <c r="AC18" s="47">
        <v>0</v>
      </c>
      <c r="AD18" s="47">
        <v>0</v>
      </c>
      <c r="AE18" s="47">
        <v>1</v>
      </c>
      <c r="AF18" s="46">
        <v>0</v>
      </c>
      <c r="AG18" s="47">
        <v>0</v>
      </c>
      <c r="AH18" s="50">
        <v>1</v>
      </c>
      <c r="AI18" s="46">
        <v>0</v>
      </c>
      <c r="AJ18" s="47">
        <v>1</v>
      </c>
      <c r="AK18" s="46">
        <v>1</v>
      </c>
      <c r="AL18" s="47">
        <v>1</v>
      </c>
      <c r="AM18" s="47">
        <v>0</v>
      </c>
      <c r="AN18" s="47">
        <v>1</v>
      </c>
      <c r="AO18" s="46">
        <v>0</v>
      </c>
      <c r="AP18" s="46">
        <v>1</v>
      </c>
      <c r="AQ18" s="47">
        <v>0</v>
      </c>
      <c r="AR18" s="47">
        <v>0</v>
      </c>
      <c r="AS18" s="47">
        <v>0</v>
      </c>
      <c r="AT18" s="47">
        <v>1</v>
      </c>
      <c r="AU18" s="47">
        <v>1</v>
      </c>
      <c r="AV18" s="47">
        <v>0</v>
      </c>
      <c r="AW18" s="47">
        <v>1</v>
      </c>
      <c r="AX18" s="47">
        <v>0</v>
      </c>
    </row>
    <row r="19" spans="1:50" x14ac:dyDescent="0.2">
      <c r="A19" s="47"/>
      <c r="B19" s="48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U19" s="47"/>
      <c r="V19" s="47"/>
      <c r="W19" s="47"/>
      <c r="X19" s="47"/>
    </row>
    <row r="20" spans="1:50" x14ac:dyDescent="0.2">
      <c r="A20" s="47"/>
      <c r="B20" s="47"/>
      <c r="C20" s="48" t="s">
        <v>2</v>
      </c>
      <c r="D20" s="47"/>
      <c r="F20" s="47" t="s">
        <v>21</v>
      </c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50" x14ac:dyDescent="0.2">
      <c r="A21" s="47"/>
      <c r="B21" s="48"/>
      <c r="C21" s="49">
        <v>1</v>
      </c>
      <c r="D21" s="48">
        <v>2</v>
      </c>
      <c r="E21" s="48">
        <v>3</v>
      </c>
      <c r="F21" s="48">
        <v>4</v>
      </c>
      <c r="G21" s="48">
        <v>5</v>
      </c>
      <c r="H21" s="48">
        <v>6</v>
      </c>
      <c r="I21" s="48">
        <v>7</v>
      </c>
      <c r="J21" s="48">
        <v>8</v>
      </c>
      <c r="K21" s="48">
        <v>9</v>
      </c>
      <c r="L21" s="48">
        <v>10</v>
      </c>
      <c r="M21" s="48">
        <v>11</v>
      </c>
      <c r="N21" s="48">
        <v>12</v>
      </c>
      <c r="O21" s="48">
        <v>13</v>
      </c>
      <c r="P21" s="48">
        <v>14</v>
      </c>
      <c r="Q21" s="48">
        <v>15</v>
      </c>
      <c r="R21" s="48">
        <v>16</v>
      </c>
      <c r="S21" s="48">
        <v>17</v>
      </c>
      <c r="T21" s="48">
        <v>18</v>
      </c>
      <c r="U21" s="48">
        <v>19</v>
      </c>
      <c r="V21" s="48">
        <v>20</v>
      </c>
      <c r="W21" s="48">
        <v>21</v>
      </c>
      <c r="X21" s="48">
        <v>22</v>
      </c>
      <c r="Y21" s="48">
        <v>23</v>
      </c>
      <c r="Z21" s="48">
        <v>24</v>
      </c>
      <c r="AA21" s="48">
        <v>25</v>
      </c>
      <c r="AB21" s="48">
        <v>26</v>
      </c>
      <c r="AC21" s="48">
        <v>27</v>
      </c>
      <c r="AD21" s="48">
        <v>28</v>
      </c>
      <c r="AE21" s="48">
        <v>29</v>
      </c>
      <c r="AF21" s="48">
        <v>30</v>
      </c>
      <c r="AG21" s="48">
        <v>31</v>
      </c>
      <c r="AH21" s="48">
        <v>32</v>
      </c>
      <c r="AI21" s="48">
        <v>33</v>
      </c>
      <c r="AJ21" s="48">
        <v>34</v>
      </c>
      <c r="AK21" s="48">
        <v>35</v>
      </c>
      <c r="AL21" s="48">
        <v>36</v>
      </c>
      <c r="AM21" s="48">
        <v>37</v>
      </c>
      <c r="AN21" s="48">
        <v>38</v>
      </c>
      <c r="AO21" s="48">
        <v>39</v>
      </c>
      <c r="AP21" s="48">
        <v>40</v>
      </c>
      <c r="AQ21" s="48">
        <v>41</v>
      </c>
      <c r="AR21" s="48">
        <v>42</v>
      </c>
      <c r="AS21" s="48">
        <v>43</v>
      </c>
      <c r="AT21" s="48">
        <v>44</v>
      </c>
      <c r="AU21" s="48">
        <v>45</v>
      </c>
      <c r="AV21" s="48">
        <v>46</v>
      </c>
      <c r="AW21" s="48">
        <v>47</v>
      </c>
      <c r="AX21" s="48">
        <v>48</v>
      </c>
    </row>
    <row r="22" spans="1:50" x14ac:dyDescent="0.2">
      <c r="A22" s="48" t="s">
        <v>0</v>
      </c>
      <c r="B22" s="48">
        <v>1</v>
      </c>
      <c r="C22" s="46">
        <f>$C$9*C$16+$C$10*C$17+$C$11*C$18</f>
        <v>0</v>
      </c>
      <c r="D22" s="46">
        <f t="shared" ref="D22:AX22" si="0">$C$9*D$16+$C$10*D$17+$C$11*D$18</f>
        <v>1</v>
      </c>
      <c r="E22" s="46">
        <f t="shared" si="0"/>
        <v>0</v>
      </c>
      <c r="F22" s="46">
        <f t="shared" si="0"/>
        <v>0</v>
      </c>
      <c r="G22" s="46">
        <f t="shared" si="0"/>
        <v>1</v>
      </c>
      <c r="H22" s="46">
        <f t="shared" si="0"/>
        <v>1</v>
      </c>
      <c r="I22" s="46">
        <f t="shared" si="0"/>
        <v>0</v>
      </c>
      <c r="J22" s="46">
        <f t="shared" si="0"/>
        <v>1</v>
      </c>
      <c r="K22" s="46">
        <f t="shared" si="0"/>
        <v>0</v>
      </c>
      <c r="L22" s="46">
        <f t="shared" si="0"/>
        <v>1</v>
      </c>
      <c r="M22" s="46">
        <f t="shared" si="0"/>
        <v>1</v>
      </c>
      <c r="N22" s="46">
        <f t="shared" si="0"/>
        <v>1</v>
      </c>
      <c r="O22" s="46">
        <f t="shared" si="0"/>
        <v>1</v>
      </c>
      <c r="P22" s="46">
        <f t="shared" si="0"/>
        <v>0</v>
      </c>
      <c r="Q22" s="46">
        <f t="shared" si="0"/>
        <v>0</v>
      </c>
      <c r="R22" s="46">
        <f t="shared" si="0"/>
        <v>0</v>
      </c>
      <c r="S22" s="46">
        <f t="shared" si="0"/>
        <v>0</v>
      </c>
      <c r="T22" s="46">
        <f t="shared" si="0"/>
        <v>1</v>
      </c>
      <c r="U22" s="46">
        <f t="shared" si="0"/>
        <v>1</v>
      </c>
      <c r="V22" s="46">
        <f t="shared" si="0"/>
        <v>1</v>
      </c>
      <c r="W22" s="46">
        <f t="shared" si="0"/>
        <v>0</v>
      </c>
      <c r="X22" s="46">
        <f t="shared" si="0"/>
        <v>0</v>
      </c>
      <c r="Y22" s="46">
        <f t="shared" si="0"/>
        <v>0</v>
      </c>
      <c r="Z22" s="46">
        <f t="shared" si="0"/>
        <v>0</v>
      </c>
      <c r="AA22" s="46">
        <f t="shared" si="0"/>
        <v>1</v>
      </c>
      <c r="AB22" s="46">
        <f t="shared" si="0"/>
        <v>1</v>
      </c>
      <c r="AC22" s="46">
        <f t="shared" si="0"/>
        <v>0</v>
      </c>
      <c r="AD22" s="46">
        <f t="shared" si="0"/>
        <v>0</v>
      </c>
      <c r="AE22" s="46">
        <f t="shared" si="0"/>
        <v>1</v>
      </c>
      <c r="AF22" s="46">
        <f t="shared" si="0"/>
        <v>0</v>
      </c>
      <c r="AG22" s="46">
        <f t="shared" si="0"/>
        <v>0</v>
      </c>
      <c r="AH22" s="46">
        <f t="shared" si="0"/>
        <v>1</v>
      </c>
      <c r="AI22" s="46">
        <f t="shared" si="0"/>
        <v>0</v>
      </c>
      <c r="AJ22" s="46">
        <f t="shared" si="0"/>
        <v>1</v>
      </c>
      <c r="AK22" s="46">
        <f t="shared" si="0"/>
        <v>1</v>
      </c>
      <c r="AL22" s="46">
        <f t="shared" si="0"/>
        <v>1</v>
      </c>
      <c r="AM22" s="46">
        <f t="shared" si="0"/>
        <v>0</v>
      </c>
      <c r="AN22" s="46">
        <f t="shared" si="0"/>
        <v>1</v>
      </c>
      <c r="AO22" s="46">
        <f t="shared" si="0"/>
        <v>0</v>
      </c>
      <c r="AP22" s="46">
        <f t="shared" si="0"/>
        <v>1</v>
      </c>
      <c r="AQ22" s="46">
        <f t="shared" si="0"/>
        <v>0</v>
      </c>
      <c r="AR22" s="46">
        <f t="shared" si="0"/>
        <v>0</v>
      </c>
      <c r="AS22" s="46">
        <f t="shared" si="0"/>
        <v>0</v>
      </c>
      <c r="AT22" s="46">
        <f t="shared" si="0"/>
        <v>1</v>
      </c>
      <c r="AU22" s="46">
        <f t="shared" si="0"/>
        <v>1</v>
      </c>
      <c r="AV22" s="46">
        <f t="shared" si="0"/>
        <v>0</v>
      </c>
      <c r="AW22" s="46">
        <f t="shared" si="0"/>
        <v>1</v>
      </c>
      <c r="AX22" s="46">
        <f t="shared" si="0"/>
        <v>0</v>
      </c>
    </row>
    <row r="23" spans="1:50" x14ac:dyDescent="0.2">
      <c r="A23" s="47"/>
      <c r="B23" s="48">
        <v>2</v>
      </c>
      <c r="C23" s="46">
        <f>$D$9*C$16+$D$10*C$17+$D$11*C$18</f>
        <v>0</v>
      </c>
      <c r="D23" s="46">
        <f t="shared" ref="D23:AX23" si="1">$D$9*D$16+$D$10*D$17+$D$11*D$18</f>
        <v>0</v>
      </c>
      <c r="E23" s="46">
        <f t="shared" si="1"/>
        <v>1</v>
      </c>
      <c r="F23" s="46">
        <f t="shared" si="1"/>
        <v>1</v>
      </c>
      <c r="G23" s="46">
        <f t="shared" si="1"/>
        <v>1</v>
      </c>
      <c r="H23" s="46">
        <f t="shared" si="1"/>
        <v>0</v>
      </c>
      <c r="I23" s="46">
        <f t="shared" si="1"/>
        <v>1</v>
      </c>
      <c r="J23" s="46">
        <f t="shared" si="1"/>
        <v>0</v>
      </c>
      <c r="K23" s="46">
        <f t="shared" si="1"/>
        <v>0</v>
      </c>
      <c r="L23" s="46">
        <f t="shared" si="1"/>
        <v>0</v>
      </c>
      <c r="M23" s="46">
        <f t="shared" si="1"/>
        <v>0</v>
      </c>
      <c r="N23" s="46">
        <f t="shared" si="1"/>
        <v>1</v>
      </c>
      <c r="O23" s="46">
        <f t="shared" si="1"/>
        <v>0</v>
      </c>
      <c r="P23" s="46">
        <f t="shared" si="1"/>
        <v>1</v>
      </c>
      <c r="Q23" s="46">
        <f t="shared" si="1"/>
        <v>0</v>
      </c>
      <c r="R23" s="46">
        <f t="shared" si="1"/>
        <v>1</v>
      </c>
      <c r="S23" s="46">
        <f t="shared" si="1"/>
        <v>0</v>
      </c>
      <c r="T23" s="46">
        <f t="shared" si="1"/>
        <v>0</v>
      </c>
      <c r="U23" s="46">
        <f t="shared" si="1"/>
        <v>0</v>
      </c>
      <c r="V23" s="46">
        <f t="shared" si="1"/>
        <v>1</v>
      </c>
      <c r="W23" s="46">
        <f t="shared" si="1"/>
        <v>1</v>
      </c>
      <c r="X23" s="46">
        <f t="shared" si="1"/>
        <v>1</v>
      </c>
      <c r="Y23" s="46">
        <f t="shared" si="1"/>
        <v>1</v>
      </c>
      <c r="Z23" s="46">
        <f t="shared" si="1"/>
        <v>0</v>
      </c>
      <c r="AA23" s="46">
        <f t="shared" si="1"/>
        <v>0</v>
      </c>
      <c r="AB23" s="46">
        <f t="shared" si="1"/>
        <v>0</v>
      </c>
      <c r="AC23" s="46">
        <f t="shared" si="1"/>
        <v>0</v>
      </c>
      <c r="AD23" s="46">
        <f t="shared" si="1"/>
        <v>1</v>
      </c>
      <c r="AE23" s="46">
        <f t="shared" si="1"/>
        <v>1</v>
      </c>
      <c r="AF23" s="46">
        <f t="shared" si="1"/>
        <v>0</v>
      </c>
      <c r="AG23" s="46">
        <f t="shared" si="1"/>
        <v>0</v>
      </c>
      <c r="AH23" s="46">
        <f t="shared" si="1"/>
        <v>1</v>
      </c>
      <c r="AI23" s="46">
        <f t="shared" si="1"/>
        <v>0</v>
      </c>
      <c r="AJ23" s="46">
        <f t="shared" si="1"/>
        <v>0</v>
      </c>
      <c r="AK23" s="46">
        <f t="shared" si="1"/>
        <v>0</v>
      </c>
      <c r="AL23" s="46">
        <f t="shared" si="1"/>
        <v>0</v>
      </c>
      <c r="AM23" s="46">
        <f t="shared" si="1"/>
        <v>1</v>
      </c>
      <c r="AN23" s="46">
        <f t="shared" si="1"/>
        <v>0</v>
      </c>
      <c r="AO23" s="46">
        <f t="shared" si="1"/>
        <v>1</v>
      </c>
      <c r="AP23" s="46">
        <f t="shared" si="1"/>
        <v>1</v>
      </c>
      <c r="AQ23" s="46">
        <f t="shared" si="1"/>
        <v>1</v>
      </c>
      <c r="AR23" s="46">
        <f t="shared" si="1"/>
        <v>1</v>
      </c>
      <c r="AS23" s="46">
        <f t="shared" si="1"/>
        <v>0</v>
      </c>
      <c r="AT23" s="46">
        <f t="shared" si="1"/>
        <v>0</v>
      </c>
      <c r="AU23" s="46">
        <f t="shared" si="1"/>
        <v>1</v>
      </c>
      <c r="AV23" s="46">
        <f t="shared" si="1"/>
        <v>0</v>
      </c>
      <c r="AW23" s="46">
        <f t="shared" si="1"/>
        <v>1</v>
      </c>
      <c r="AX23" s="46">
        <f t="shared" si="1"/>
        <v>0</v>
      </c>
    </row>
    <row r="24" spans="1:50" x14ac:dyDescent="0.2">
      <c r="A24" s="47"/>
      <c r="B24" s="48">
        <v>3</v>
      </c>
      <c r="C24" s="46">
        <f>$E$9*C$16+$E$10*C$17+$E$11*C$18</f>
        <v>1</v>
      </c>
      <c r="D24" s="46">
        <f t="shared" ref="D24:AX24" si="2">$E$9*D$16+$E$10*D$17+$E$11*D$18</f>
        <v>1</v>
      </c>
      <c r="E24" s="46">
        <f t="shared" si="2"/>
        <v>0</v>
      </c>
      <c r="F24" s="46">
        <f t="shared" si="2"/>
        <v>0</v>
      </c>
      <c r="G24" s="46">
        <f t="shared" si="2"/>
        <v>0</v>
      </c>
      <c r="H24" s="46">
        <f t="shared" si="2"/>
        <v>0</v>
      </c>
      <c r="I24" s="46">
        <f t="shared" si="2"/>
        <v>1</v>
      </c>
      <c r="J24" s="46">
        <f t="shared" si="2"/>
        <v>0</v>
      </c>
      <c r="K24" s="46">
        <f t="shared" si="2"/>
        <v>1</v>
      </c>
      <c r="L24" s="46">
        <f t="shared" si="2"/>
        <v>0</v>
      </c>
      <c r="M24" s="46">
        <f t="shared" si="2"/>
        <v>0</v>
      </c>
      <c r="N24" s="46">
        <f t="shared" si="2"/>
        <v>0</v>
      </c>
      <c r="O24" s="46">
        <f t="shared" si="2"/>
        <v>1</v>
      </c>
      <c r="P24" s="46">
        <f t="shared" si="2"/>
        <v>0</v>
      </c>
      <c r="Q24" s="46">
        <f t="shared" si="2"/>
        <v>0</v>
      </c>
      <c r="R24" s="46">
        <f t="shared" si="2"/>
        <v>1</v>
      </c>
      <c r="S24" s="46">
        <f t="shared" si="2"/>
        <v>1</v>
      </c>
      <c r="T24" s="46">
        <f t="shared" si="2"/>
        <v>0</v>
      </c>
      <c r="U24" s="46">
        <f t="shared" si="2"/>
        <v>0</v>
      </c>
      <c r="V24" s="46">
        <f t="shared" si="2"/>
        <v>1</v>
      </c>
      <c r="W24" s="46">
        <f t="shared" si="2"/>
        <v>0</v>
      </c>
      <c r="X24" s="46">
        <f t="shared" si="2"/>
        <v>1</v>
      </c>
      <c r="Y24" s="46">
        <f t="shared" si="2"/>
        <v>0</v>
      </c>
      <c r="Z24" s="46">
        <f t="shared" si="2"/>
        <v>1</v>
      </c>
      <c r="AA24" s="46">
        <f t="shared" si="2"/>
        <v>0</v>
      </c>
      <c r="AB24" s="46">
        <f t="shared" si="2"/>
        <v>1</v>
      </c>
      <c r="AC24" s="46">
        <f t="shared" si="2"/>
        <v>1</v>
      </c>
      <c r="AD24" s="46">
        <f t="shared" si="2"/>
        <v>1</v>
      </c>
      <c r="AE24" s="46">
        <f t="shared" si="2"/>
        <v>0</v>
      </c>
      <c r="AF24" s="46">
        <f t="shared" si="2"/>
        <v>0</v>
      </c>
      <c r="AG24" s="46">
        <f t="shared" si="2"/>
        <v>0</v>
      </c>
      <c r="AH24" s="46">
        <f t="shared" si="2"/>
        <v>0</v>
      </c>
      <c r="AI24" s="46">
        <f t="shared" si="2"/>
        <v>1</v>
      </c>
      <c r="AJ24" s="46">
        <f t="shared" si="2"/>
        <v>0</v>
      </c>
      <c r="AK24" s="46">
        <f t="shared" si="2"/>
        <v>1</v>
      </c>
      <c r="AL24" s="46">
        <f t="shared" si="2"/>
        <v>0</v>
      </c>
      <c r="AM24" s="46">
        <f t="shared" si="2"/>
        <v>0</v>
      </c>
      <c r="AN24" s="46">
        <f t="shared" si="2"/>
        <v>0</v>
      </c>
      <c r="AO24" s="46">
        <f t="shared" si="2"/>
        <v>0</v>
      </c>
      <c r="AP24" s="46">
        <f t="shared" si="2"/>
        <v>0</v>
      </c>
      <c r="AQ24" s="46">
        <f t="shared" si="2"/>
        <v>0</v>
      </c>
      <c r="AR24" s="46">
        <f t="shared" si="2"/>
        <v>0</v>
      </c>
      <c r="AS24" s="46">
        <f t="shared" si="2"/>
        <v>0</v>
      </c>
      <c r="AT24" s="46">
        <f t="shared" si="2"/>
        <v>0</v>
      </c>
      <c r="AU24" s="46">
        <f t="shared" si="2"/>
        <v>0</v>
      </c>
      <c r="AV24" s="46">
        <f t="shared" si="2"/>
        <v>1</v>
      </c>
      <c r="AW24" s="46">
        <f t="shared" si="2"/>
        <v>1</v>
      </c>
      <c r="AX24" s="46">
        <f t="shared" si="2"/>
        <v>1</v>
      </c>
    </row>
    <row r="25" spans="1:50" x14ac:dyDescent="0.2">
      <c r="A25" s="47"/>
      <c r="B25" s="48">
        <v>4</v>
      </c>
      <c r="C25" s="46">
        <f>$F$9*C$16+$F$10*C$17+$F$11*C$18</f>
        <v>0</v>
      </c>
      <c r="D25" s="46">
        <f t="shared" ref="D25:AX25" si="3">$F$9*D$16+$F$10*D$17+$F$11*D$18</f>
        <v>0</v>
      </c>
      <c r="E25" s="46">
        <f t="shared" si="3"/>
        <v>0</v>
      </c>
      <c r="F25" s="46">
        <f t="shared" si="3"/>
        <v>0</v>
      </c>
      <c r="G25" s="46">
        <f t="shared" si="3"/>
        <v>0</v>
      </c>
      <c r="H25" s="46">
        <f t="shared" si="3"/>
        <v>0</v>
      </c>
      <c r="I25" s="46">
        <f t="shared" si="3"/>
        <v>0</v>
      </c>
      <c r="J25" s="46">
        <f t="shared" si="3"/>
        <v>0</v>
      </c>
      <c r="K25" s="46">
        <f t="shared" si="3"/>
        <v>0</v>
      </c>
      <c r="L25" s="46">
        <f t="shared" si="3"/>
        <v>0</v>
      </c>
      <c r="M25" s="46">
        <f t="shared" si="3"/>
        <v>0</v>
      </c>
      <c r="N25" s="46">
        <f t="shared" si="3"/>
        <v>0</v>
      </c>
      <c r="O25" s="46">
        <f t="shared" si="3"/>
        <v>0</v>
      </c>
      <c r="P25" s="46">
        <f t="shared" si="3"/>
        <v>0</v>
      </c>
      <c r="Q25" s="46">
        <f t="shared" si="3"/>
        <v>0</v>
      </c>
      <c r="R25" s="46">
        <f t="shared" si="3"/>
        <v>0</v>
      </c>
      <c r="S25" s="46">
        <f t="shared" si="3"/>
        <v>0</v>
      </c>
      <c r="T25" s="46">
        <f t="shared" si="3"/>
        <v>0</v>
      </c>
      <c r="U25" s="46">
        <f t="shared" si="3"/>
        <v>0</v>
      </c>
      <c r="V25" s="46">
        <f t="shared" si="3"/>
        <v>0</v>
      </c>
      <c r="W25" s="46">
        <f t="shared" si="3"/>
        <v>0</v>
      </c>
      <c r="X25" s="46">
        <f t="shared" si="3"/>
        <v>0</v>
      </c>
      <c r="Y25" s="46">
        <f t="shared" si="3"/>
        <v>0</v>
      </c>
      <c r="Z25" s="46">
        <f t="shared" si="3"/>
        <v>0</v>
      </c>
      <c r="AA25" s="46">
        <f t="shared" si="3"/>
        <v>0</v>
      </c>
      <c r="AB25" s="46">
        <f t="shared" si="3"/>
        <v>0</v>
      </c>
      <c r="AC25" s="46">
        <f t="shared" si="3"/>
        <v>0</v>
      </c>
      <c r="AD25" s="46">
        <f t="shared" si="3"/>
        <v>0</v>
      </c>
      <c r="AE25" s="46">
        <f t="shared" si="3"/>
        <v>0</v>
      </c>
      <c r="AF25" s="46">
        <f t="shared" si="3"/>
        <v>0</v>
      </c>
      <c r="AG25" s="46">
        <f t="shared" si="3"/>
        <v>0</v>
      </c>
      <c r="AH25" s="46">
        <f t="shared" si="3"/>
        <v>0</v>
      </c>
      <c r="AI25" s="46">
        <f t="shared" si="3"/>
        <v>0</v>
      </c>
      <c r="AJ25" s="46">
        <f t="shared" si="3"/>
        <v>0</v>
      </c>
      <c r="AK25" s="46">
        <f t="shared" si="3"/>
        <v>0</v>
      </c>
      <c r="AL25" s="46">
        <f t="shared" si="3"/>
        <v>0</v>
      </c>
      <c r="AM25" s="46">
        <f t="shared" si="3"/>
        <v>0</v>
      </c>
      <c r="AN25" s="46">
        <f t="shared" si="3"/>
        <v>0</v>
      </c>
      <c r="AO25" s="46">
        <f t="shared" si="3"/>
        <v>0</v>
      </c>
      <c r="AP25" s="46">
        <f t="shared" si="3"/>
        <v>0</v>
      </c>
      <c r="AQ25" s="46">
        <f t="shared" si="3"/>
        <v>0</v>
      </c>
      <c r="AR25" s="46">
        <f t="shared" si="3"/>
        <v>0</v>
      </c>
      <c r="AS25" s="46">
        <f t="shared" si="3"/>
        <v>0</v>
      </c>
      <c r="AT25" s="46">
        <f t="shared" si="3"/>
        <v>0</v>
      </c>
      <c r="AU25" s="46">
        <f t="shared" si="3"/>
        <v>0</v>
      </c>
      <c r="AV25" s="46">
        <f t="shared" si="3"/>
        <v>0</v>
      </c>
      <c r="AW25" s="46">
        <f t="shared" si="3"/>
        <v>0</v>
      </c>
      <c r="AX25" s="46">
        <f t="shared" si="3"/>
        <v>0</v>
      </c>
    </row>
    <row r="26" spans="1:50" x14ac:dyDescent="0.2">
      <c r="A26" s="47"/>
      <c r="B26" s="48">
        <v>5</v>
      </c>
      <c r="C26" s="46">
        <f>$G$9*C$16+$G$10*C$17+$G$11*C$18</f>
        <v>0</v>
      </c>
      <c r="D26" s="46">
        <f t="shared" ref="D26:AX26" si="4">$G$9*D$16+$G$10*D$17+$G$11*D$18</f>
        <v>1</v>
      </c>
      <c r="E26" s="46">
        <f t="shared" si="4"/>
        <v>1</v>
      </c>
      <c r="F26" s="46">
        <f t="shared" si="4"/>
        <v>1</v>
      </c>
      <c r="G26" s="46">
        <f t="shared" si="4"/>
        <v>2</v>
      </c>
      <c r="H26" s="46">
        <f t="shared" si="4"/>
        <v>1</v>
      </c>
      <c r="I26" s="46">
        <f t="shared" si="4"/>
        <v>1</v>
      </c>
      <c r="J26" s="46">
        <f t="shared" si="4"/>
        <v>1</v>
      </c>
      <c r="K26" s="46">
        <f t="shared" si="4"/>
        <v>0</v>
      </c>
      <c r="L26" s="46">
        <f t="shared" si="4"/>
        <v>1</v>
      </c>
      <c r="M26" s="46">
        <f t="shared" si="4"/>
        <v>1</v>
      </c>
      <c r="N26" s="46">
        <f t="shared" si="4"/>
        <v>2</v>
      </c>
      <c r="O26" s="46">
        <f t="shared" si="4"/>
        <v>1</v>
      </c>
      <c r="P26" s="46">
        <f t="shared" si="4"/>
        <v>1</v>
      </c>
      <c r="Q26" s="46">
        <f t="shared" si="4"/>
        <v>0</v>
      </c>
      <c r="R26" s="46">
        <f t="shared" si="4"/>
        <v>1</v>
      </c>
      <c r="S26" s="46">
        <f t="shared" si="4"/>
        <v>0</v>
      </c>
      <c r="T26" s="46">
        <f t="shared" si="4"/>
        <v>1</v>
      </c>
      <c r="U26" s="46">
        <f t="shared" si="4"/>
        <v>1</v>
      </c>
      <c r="V26" s="46">
        <f t="shared" si="4"/>
        <v>2</v>
      </c>
      <c r="W26" s="46">
        <f t="shared" si="4"/>
        <v>1</v>
      </c>
      <c r="X26" s="46">
        <f t="shared" si="4"/>
        <v>1</v>
      </c>
      <c r="Y26" s="46">
        <f t="shared" si="4"/>
        <v>1</v>
      </c>
      <c r="Z26" s="46">
        <f t="shared" si="4"/>
        <v>0</v>
      </c>
      <c r="AA26" s="46">
        <f t="shared" si="4"/>
        <v>1</v>
      </c>
      <c r="AB26" s="46">
        <f t="shared" si="4"/>
        <v>1</v>
      </c>
      <c r="AC26" s="46">
        <f t="shared" si="4"/>
        <v>0</v>
      </c>
      <c r="AD26" s="46">
        <f t="shared" si="4"/>
        <v>1</v>
      </c>
      <c r="AE26" s="46">
        <f t="shared" si="4"/>
        <v>2</v>
      </c>
      <c r="AF26" s="46">
        <f t="shared" si="4"/>
        <v>0</v>
      </c>
      <c r="AG26" s="46">
        <f t="shared" si="4"/>
        <v>0</v>
      </c>
      <c r="AH26" s="46">
        <f t="shared" si="4"/>
        <v>2</v>
      </c>
      <c r="AI26" s="46">
        <f t="shared" si="4"/>
        <v>0</v>
      </c>
      <c r="AJ26" s="46">
        <f t="shared" si="4"/>
        <v>1</v>
      </c>
      <c r="AK26" s="46">
        <f t="shared" si="4"/>
        <v>1</v>
      </c>
      <c r="AL26" s="46">
        <f t="shared" si="4"/>
        <v>1</v>
      </c>
      <c r="AM26" s="46">
        <f t="shared" si="4"/>
        <v>1</v>
      </c>
      <c r="AN26" s="46">
        <f t="shared" si="4"/>
        <v>1</v>
      </c>
      <c r="AO26" s="46">
        <f t="shared" si="4"/>
        <v>1</v>
      </c>
      <c r="AP26" s="46">
        <f t="shared" si="4"/>
        <v>2</v>
      </c>
      <c r="AQ26" s="46">
        <f t="shared" si="4"/>
        <v>1</v>
      </c>
      <c r="AR26" s="46">
        <f t="shared" si="4"/>
        <v>1</v>
      </c>
      <c r="AS26" s="46">
        <f t="shared" si="4"/>
        <v>0</v>
      </c>
      <c r="AT26" s="46">
        <f t="shared" si="4"/>
        <v>1</v>
      </c>
      <c r="AU26" s="46">
        <f t="shared" si="4"/>
        <v>2</v>
      </c>
      <c r="AV26" s="46">
        <f t="shared" si="4"/>
        <v>0</v>
      </c>
      <c r="AW26" s="46">
        <f t="shared" si="4"/>
        <v>2</v>
      </c>
      <c r="AX26" s="46">
        <f t="shared" si="4"/>
        <v>0</v>
      </c>
    </row>
    <row r="27" spans="1:50" x14ac:dyDescent="0.2">
      <c r="A27" s="47"/>
      <c r="B27" s="48">
        <v>6</v>
      </c>
      <c r="C27" s="46">
        <f>$H$9*C$16+$H$10*C$17+$H$11*C$18</f>
        <v>1</v>
      </c>
      <c r="D27" s="46">
        <f t="shared" ref="D27:AX27" si="5">$H$9*D$16+$H$10*D$17+$H$11*D$18</f>
        <v>1</v>
      </c>
      <c r="E27" s="46">
        <f t="shared" si="5"/>
        <v>1</v>
      </c>
      <c r="F27" s="46">
        <f t="shared" si="5"/>
        <v>1</v>
      </c>
      <c r="G27" s="46">
        <f t="shared" si="5"/>
        <v>1</v>
      </c>
      <c r="H27" s="46">
        <f t="shared" si="5"/>
        <v>0</v>
      </c>
      <c r="I27" s="46">
        <f t="shared" si="5"/>
        <v>2</v>
      </c>
      <c r="J27" s="46">
        <f t="shared" si="5"/>
        <v>0</v>
      </c>
      <c r="K27" s="46">
        <f t="shared" si="5"/>
        <v>1</v>
      </c>
      <c r="L27" s="46">
        <f t="shared" si="5"/>
        <v>0</v>
      </c>
      <c r="M27" s="46">
        <f t="shared" si="5"/>
        <v>0</v>
      </c>
      <c r="N27" s="46">
        <f t="shared" si="5"/>
        <v>1</v>
      </c>
      <c r="O27" s="46">
        <f t="shared" si="5"/>
        <v>1</v>
      </c>
      <c r="P27" s="46">
        <f t="shared" si="5"/>
        <v>1</v>
      </c>
      <c r="Q27" s="46">
        <f t="shared" si="5"/>
        <v>0</v>
      </c>
      <c r="R27" s="46">
        <f t="shared" si="5"/>
        <v>2</v>
      </c>
      <c r="S27" s="46">
        <f t="shared" si="5"/>
        <v>1</v>
      </c>
      <c r="T27" s="46">
        <f t="shared" si="5"/>
        <v>0</v>
      </c>
      <c r="U27" s="46">
        <f t="shared" si="5"/>
        <v>0</v>
      </c>
      <c r="V27" s="46">
        <f t="shared" si="5"/>
        <v>2</v>
      </c>
      <c r="W27" s="46">
        <f t="shared" si="5"/>
        <v>1</v>
      </c>
      <c r="X27" s="46">
        <f t="shared" si="5"/>
        <v>2</v>
      </c>
      <c r="Y27" s="46">
        <f t="shared" si="5"/>
        <v>1</v>
      </c>
      <c r="Z27" s="46">
        <f t="shared" si="5"/>
        <v>1</v>
      </c>
      <c r="AA27" s="46">
        <f t="shared" si="5"/>
        <v>0</v>
      </c>
      <c r="AB27" s="46">
        <f t="shared" si="5"/>
        <v>1</v>
      </c>
      <c r="AC27" s="46">
        <f t="shared" si="5"/>
        <v>1</v>
      </c>
      <c r="AD27" s="46">
        <f t="shared" si="5"/>
        <v>2</v>
      </c>
      <c r="AE27" s="46">
        <f t="shared" si="5"/>
        <v>1</v>
      </c>
      <c r="AF27" s="46">
        <f t="shared" si="5"/>
        <v>0</v>
      </c>
      <c r="AG27" s="46">
        <f t="shared" si="5"/>
        <v>0</v>
      </c>
      <c r="AH27" s="46">
        <f t="shared" si="5"/>
        <v>1</v>
      </c>
      <c r="AI27" s="46">
        <f t="shared" si="5"/>
        <v>1</v>
      </c>
      <c r="AJ27" s="46">
        <f t="shared" si="5"/>
        <v>0</v>
      </c>
      <c r="AK27" s="46">
        <f t="shared" si="5"/>
        <v>1</v>
      </c>
      <c r="AL27" s="46">
        <f t="shared" si="5"/>
        <v>0</v>
      </c>
      <c r="AM27" s="46">
        <f t="shared" si="5"/>
        <v>1</v>
      </c>
      <c r="AN27" s="46">
        <f t="shared" si="5"/>
        <v>0</v>
      </c>
      <c r="AO27" s="46">
        <f t="shared" si="5"/>
        <v>1</v>
      </c>
      <c r="AP27" s="46">
        <f t="shared" si="5"/>
        <v>1</v>
      </c>
      <c r="AQ27" s="46">
        <f t="shared" si="5"/>
        <v>1</v>
      </c>
      <c r="AR27" s="46">
        <f t="shared" si="5"/>
        <v>1</v>
      </c>
      <c r="AS27" s="46">
        <f t="shared" si="5"/>
        <v>0</v>
      </c>
      <c r="AT27" s="46">
        <f t="shared" si="5"/>
        <v>0</v>
      </c>
      <c r="AU27" s="46">
        <f t="shared" si="5"/>
        <v>1</v>
      </c>
      <c r="AV27" s="46">
        <f t="shared" si="5"/>
        <v>1</v>
      </c>
      <c r="AW27" s="46">
        <f t="shared" si="5"/>
        <v>2</v>
      </c>
      <c r="AX27" s="46">
        <f t="shared" si="5"/>
        <v>1</v>
      </c>
    </row>
    <row r="28" spans="1:50" x14ac:dyDescent="0.2">
      <c r="A28" s="47"/>
      <c r="B28" s="48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</row>
    <row r="29" spans="1:50" x14ac:dyDescent="0.2">
      <c r="A29" s="47"/>
      <c r="B29" s="48"/>
      <c r="C29" s="48" t="s">
        <v>4</v>
      </c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</row>
    <row r="30" spans="1:50" x14ac:dyDescent="0.2">
      <c r="A30" s="47"/>
      <c r="B30" s="48"/>
      <c r="C30" s="49">
        <v>1</v>
      </c>
      <c r="D30" s="48">
        <v>2</v>
      </c>
      <c r="E30" s="48">
        <v>3</v>
      </c>
      <c r="F30" s="48">
        <v>4</v>
      </c>
      <c r="G30" s="48">
        <v>5</v>
      </c>
      <c r="H30" s="48">
        <v>6</v>
      </c>
      <c r="I30" s="48">
        <v>7</v>
      </c>
      <c r="J30" s="48">
        <v>8</v>
      </c>
      <c r="K30" s="48">
        <v>9</v>
      </c>
      <c r="L30" s="48">
        <v>10</v>
      </c>
      <c r="M30" s="48">
        <v>11</v>
      </c>
      <c r="N30" s="48">
        <v>12</v>
      </c>
      <c r="O30" s="48">
        <v>13</v>
      </c>
      <c r="P30" s="48">
        <v>14</v>
      </c>
      <c r="Q30" s="48">
        <v>15</v>
      </c>
      <c r="R30" s="48">
        <v>16</v>
      </c>
      <c r="S30" s="48">
        <v>17</v>
      </c>
      <c r="T30" s="48">
        <v>18</v>
      </c>
      <c r="U30" s="48">
        <v>19</v>
      </c>
      <c r="V30" s="48">
        <v>20</v>
      </c>
      <c r="W30" s="48">
        <v>21</v>
      </c>
      <c r="X30" s="48">
        <v>22</v>
      </c>
      <c r="Y30" s="48">
        <v>23</v>
      </c>
      <c r="Z30" s="48">
        <v>24</v>
      </c>
      <c r="AA30" s="48">
        <v>25</v>
      </c>
      <c r="AB30" s="48">
        <v>26</v>
      </c>
      <c r="AC30" s="48">
        <v>27</v>
      </c>
      <c r="AD30" s="48">
        <v>28</v>
      </c>
      <c r="AE30" s="48">
        <v>29</v>
      </c>
      <c r="AF30" s="48">
        <v>30</v>
      </c>
      <c r="AG30" s="48">
        <v>31</v>
      </c>
      <c r="AH30" s="48">
        <v>32</v>
      </c>
      <c r="AI30" s="48">
        <v>33</v>
      </c>
      <c r="AJ30" s="48">
        <v>34</v>
      </c>
      <c r="AK30" s="48">
        <v>35</v>
      </c>
      <c r="AL30" s="48">
        <v>36</v>
      </c>
      <c r="AM30" s="48">
        <v>37</v>
      </c>
      <c r="AN30" s="48">
        <v>38</v>
      </c>
      <c r="AO30" s="48">
        <v>39</v>
      </c>
      <c r="AP30" s="48">
        <v>40</v>
      </c>
      <c r="AQ30" s="48">
        <v>41</v>
      </c>
      <c r="AR30" s="48">
        <v>42</v>
      </c>
      <c r="AS30" s="48">
        <v>43</v>
      </c>
      <c r="AT30" s="48">
        <v>44</v>
      </c>
      <c r="AU30" s="48">
        <v>45</v>
      </c>
      <c r="AV30" s="48">
        <v>46</v>
      </c>
      <c r="AW30" s="48">
        <v>47</v>
      </c>
      <c r="AX30" s="48">
        <v>48</v>
      </c>
    </row>
    <row r="31" spans="1:50" x14ac:dyDescent="0.2">
      <c r="A31" s="48" t="s">
        <v>16</v>
      </c>
      <c r="B31" s="47"/>
      <c r="C31" s="47">
        <f t="shared" ref="C31:AW31" si="6">SUM(C36:C85)</f>
        <v>4</v>
      </c>
      <c r="D31" s="47">
        <f t="shared" si="6"/>
        <v>4</v>
      </c>
      <c r="E31" s="47">
        <f t="shared" si="6"/>
        <v>8</v>
      </c>
      <c r="F31" s="47">
        <f t="shared" si="6"/>
        <v>4</v>
      </c>
      <c r="G31" s="47">
        <f t="shared" si="6"/>
        <v>3</v>
      </c>
      <c r="H31" s="47">
        <f t="shared" si="6"/>
        <v>4</v>
      </c>
      <c r="I31" s="47">
        <f t="shared" si="6"/>
        <v>2</v>
      </c>
      <c r="J31" s="47">
        <f t="shared" si="6"/>
        <v>2</v>
      </c>
      <c r="K31" s="47">
        <f t="shared" si="6"/>
        <v>8</v>
      </c>
      <c r="L31" s="47">
        <f t="shared" si="6"/>
        <v>4</v>
      </c>
      <c r="M31" s="47">
        <f t="shared" si="6"/>
        <v>3</v>
      </c>
      <c r="N31" s="47">
        <f t="shared" si="6"/>
        <v>1</v>
      </c>
      <c r="O31" s="47">
        <f t="shared" si="6"/>
        <v>8</v>
      </c>
      <c r="P31" s="47">
        <f t="shared" si="6"/>
        <v>4</v>
      </c>
      <c r="Q31" s="47">
        <f t="shared" si="6"/>
        <v>3</v>
      </c>
      <c r="R31" s="47">
        <f t="shared" si="6"/>
        <v>4</v>
      </c>
      <c r="S31" s="47">
        <f t="shared" si="6"/>
        <v>8</v>
      </c>
      <c r="T31" s="47">
        <f t="shared" si="6"/>
        <v>3</v>
      </c>
      <c r="U31" s="47">
        <f t="shared" si="6"/>
        <v>1</v>
      </c>
      <c r="V31" s="47">
        <f t="shared" si="6"/>
        <v>5</v>
      </c>
      <c r="W31" s="47">
        <f t="shared" si="6"/>
        <v>6</v>
      </c>
      <c r="X31" s="47">
        <f t="shared" si="6"/>
        <v>8</v>
      </c>
      <c r="Y31" s="47">
        <f t="shared" si="6"/>
        <v>3</v>
      </c>
      <c r="Z31" s="47">
        <f t="shared" si="6"/>
        <v>2</v>
      </c>
      <c r="AA31" s="47">
        <f t="shared" si="6"/>
        <v>3</v>
      </c>
      <c r="AB31" s="47">
        <f t="shared" si="6"/>
        <v>9</v>
      </c>
      <c r="AC31" s="47">
        <f t="shared" si="6"/>
        <v>4</v>
      </c>
      <c r="AD31" s="47">
        <f t="shared" si="6"/>
        <v>5</v>
      </c>
      <c r="AE31" s="47">
        <f t="shared" si="6"/>
        <v>3</v>
      </c>
      <c r="AF31" s="47">
        <f t="shared" si="6"/>
        <v>5</v>
      </c>
      <c r="AG31" s="47">
        <f t="shared" si="6"/>
        <v>4</v>
      </c>
      <c r="AH31" s="47">
        <f t="shared" si="6"/>
        <v>3</v>
      </c>
      <c r="AI31" s="47">
        <f t="shared" si="6"/>
        <v>2</v>
      </c>
      <c r="AJ31" s="47">
        <f t="shared" si="6"/>
        <v>3</v>
      </c>
      <c r="AK31" s="47">
        <f t="shared" si="6"/>
        <v>4</v>
      </c>
      <c r="AL31" s="47">
        <f t="shared" si="6"/>
        <v>5</v>
      </c>
      <c r="AM31" s="47">
        <f t="shared" si="6"/>
        <v>5</v>
      </c>
      <c r="AN31" s="47">
        <f t="shared" si="6"/>
        <v>4</v>
      </c>
      <c r="AO31" s="47">
        <f t="shared" si="6"/>
        <v>4</v>
      </c>
      <c r="AP31" s="47">
        <f t="shared" si="6"/>
        <v>9</v>
      </c>
      <c r="AQ31" s="47">
        <f t="shared" si="6"/>
        <v>5</v>
      </c>
      <c r="AR31" s="47">
        <f t="shared" si="6"/>
        <v>3</v>
      </c>
      <c r="AS31" s="47">
        <f t="shared" si="6"/>
        <v>0</v>
      </c>
      <c r="AT31" s="47">
        <f t="shared" si="6"/>
        <v>4</v>
      </c>
      <c r="AU31" s="47">
        <f t="shared" si="6"/>
        <v>6</v>
      </c>
      <c r="AV31" s="47">
        <f t="shared" si="6"/>
        <v>4</v>
      </c>
      <c r="AW31" s="47">
        <f t="shared" si="6"/>
        <v>8</v>
      </c>
      <c r="AX31" s="47">
        <f>SUM(AX36:AX85)</f>
        <v>5</v>
      </c>
    </row>
    <row r="32" spans="1:50" x14ac:dyDescent="0.2">
      <c r="A32" s="48" t="s">
        <v>17</v>
      </c>
      <c r="B32" s="47"/>
      <c r="C32" s="47">
        <f>COUNTIF(coursework!$C$5:$K$10,C35)</f>
        <v>1</v>
      </c>
      <c r="D32" s="47">
        <f>COUNTIF(coursework!$C$5:$K$10,D35)</f>
        <v>1</v>
      </c>
      <c r="E32" s="47">
        <f>COUNTIF(coursework!$C$5:$K$10,E35)</f>
        <v>1</v>
      </c>
      <c r="F32" s="47">
        <f>COUNTIF(coursework!$C$5:$K$10,F35)</f>
        <v>1</v>
      </c>
      <c r="G32" s="47">
        <f>COUNTIF(coursework!$C$5:$K$10,G35)</f>
        <v>1</v>
      </c>
      <c r="H32" s="47">
        <f>COUNTIF(coursework!$C$5:$K$10,H35)</f>
        <v>1</v>
      </c>
      <c r="I32" s="47">
        <f>COUNTIF(coursework!$C$5:$K$10,I35)</f>
        <v>1</v>
      </c>
      <c r="J32" s="47">
        <f>COUNTIF(coursework!$C$5:$K$10,J35)</f>
        <v>1</v>
      </c>
      <c r="K32" s="47">
        <f>COUNTIF(coursework!$C$5:$K$10,K35)</f>
        <v>1</v>
      </c>
      <c r="L32" s="47">
        <f>COUNTIF(coursework!$C$5:$K$10,L35)</f>
        <v>1</v>
      </c>
      <c r="M32" s="47">
        <f>COUNTIF(coursework!$C$5:$K$10,M35)</f>
        <v>1</v>
      </c>
      <c r="N32" s="47">
        <f>COUNTIF(coursework!$C$5:$K$10,N35)</f>
        <v>1</v>
      </c>
      <c r="O32" s="47">
        <f>COUNTIF(coursework!$C$5:$K$10,O35)</f>
        <v>1</v>
      </c>
      <c r="P32" s="47">
        <f>COUNTIF(coursework!$C$5:$K$10,P35)</f>
        <v>1</v>
      </c>
      <c r="Q32" s="47">
        <f>COUNTIF(coursework!$C$5:$K$10,Q35)</f>
        <v>1</v>
      </c>
      <c r="R32" s="47">
        <f>COUNTIF(coursework!$C$5:$K$10,R35)</f>
        <v>1</v>
      </c>
      <c r="S32" s="47">
        <f>COUNTIF(coursework!$C$5:$K$10,S35)</f>
        <v>1</v>
      </c>
      <c r="T32" s="47">
        <f>COUNTIF(coursework!$C$5:$K$10,T35)</f>
        <v>1</v>
      </c>
      <c r="U32" s="47">
        <f>COUNTIF(coursework!$C$5:$K$10,U35)</f>
        <v>1</v>
      </c>
      <c r="V32" s="47">
        <f>COUNTIF(coursework!$C$5:$K$10,V35)</f>
        <v>1</v>
      </c>
      <c r="W32" s="47">
        <f>COUNTIF(coursework!$C$5:$K$10,W35)</f>
        <v>1</v>
      </c>
      <c r="X32" s="47">
        <f>COUNTIF(coursework!$C$5:$K$10,X35)</f>
        <v>1</v>
      </c>
      <c r="Y32" s="47">
        <f>COUNTIF(coursework!$C$5:$K$10,Y35)</f>
        <v>1</v>
      </c>
      <c r="Z32" s="47">
        <f>COUNTIF(coursework!$C$5:$K$10,Z35)</f>
        <v>1</v>
      </c>
      <c r="AA32" s="47">
        <f>COUNTIF(coursework!$C$5:$K$10,AA35)</f>
        <v>1</v>
      </c>
      <c r="AB32" s="47">
        <f>COUNTIF(coursework!$C$5:$K$10,AB35)</f>
        <v>1</v>
      </c>
      <c r="AC32" s="47">
        <f>COUNTIF(coursework!$C$5:$K$10,AC35)</f>
        <v>1</v>
      </c>
      <c r="AD32" s="47">
        <f>COUNTIF(coursework!$C$5:$K$10,AD35)</f>
        <v>1</v>
      </c>
      <c r="AE32" s="47">
        <f>COUNTIF(coursework!$C$5:$K$10,AE35)</f>
        <v>1</v>
      </c>
      <c r="AF32" s="47">
        <f>COUNTIF(coursework!$C$5:$K$10,AF35)</f>
        <v>1</v>
      </c>
      <c r="AG32" s="47">
        <f>COUNTIF(coursework!$C$5:$K$10,AG35)</f>
        <v>1</v>
      </c>
      <c r="AH32" s="47">
        <f>COUNTIF(coursework!$C$5:$K$10,AH35)</f>
        <v>1</v>
      </c>
      <c r="AI32" s="47">
        <f>COUNTIF(coursework!$C$5:$K$10,AI35)</f>
        <v>1</v>
      </c>
      <c r="AJ32" s="47">
        <f>COUNTIF(coursework!$C$5:$K$10,AJ35)</f>
        <v>1</v>
      </c>
      <c r="AK32" s="47">
        <f>COUNTIF(coursework!$C$5:$K$10,AK35)</f>
        <v>1</v>
      </c>
      <c r="AL32" s="47">
        <f>COUNTIF(coursework!$C$5:$K$10,AL35)</f>
        <v>1</v>
      </c>
      <c r="AM32" s="47">
        <f>COUNTIF(coursework!$C$5:$K$10,AM35)</f>
        <v>1</v>
      </c>
      <c r="AN32" s="47">
        <f>COUNTIF(coursework!$C$5:$K$10,AN35)</f>
        <v>1</v>
      </c>
      <c r="AO32" s="47">
        <f>COUNTIF(coursework!$C$5:$K$10,AO35)</f>
        <v>1</v>
      </c>
      <c r="AP32" s="47">
        <f>COUNTIF(coursework!$C$5:$K$10,AP35)</f>
        <v>1</v>
      </c>
      <c r="AQ32" s="47">
        <f>COUNTIF(coursework!$C$5:$K$10,AQ35)</f>
        <v>0</v>
      </c>
      <c r="AR32" s="47">
        <f>COUNTIF(coursework!$C$5:$K$10,AR35)</f>
        <v>0</v>
      </c>
      <c r="AS32" s="47">
        <f>COUNTIF(coursework!$C$5:$K$10,AS35)</f>
        <v>0</v>
      </c>
      <c r="AT32" s="47">
        <f>COUNTIF(coursework!$C$5:$K$10,AT35)</f>
        <v>0</v>
      </c>
      <c r="AU32" s="47">
        <f>COUNTIF(coursework!$C$5:$K$10,AU35)</f>
        <v>0</v>
      </c>
      <c r="AV32" s="47">
        <f>COUNTIF(coursework!$C$5:$K$10,AV35)</f>
        <v>0</v>
      </c>
      <c r="AW32" s="47">
        <f>COUNTIF(coursework!$C$5:$K$10,AW35)</f>
        <v>0</v>
      </c>
      <c r="AX32" s="47">
        <f>COUNTIF(coursework!$C$5:$K$10,AX35)</f>
        <v>0</v>
      </c>
    </row>
    <row r="33" spans="1:104" x14ac:dyDescent="0.2">
      <c r="A33" s="48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</row>
    <row r="34" spans="1:104" x14ac:dyDescent="0.2">
      <c r="A34" s="47"/>
      <c r="B34" s="47"/>
      <c r="C34" s="48" t="s">
        <v>4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</row>
    <row r="35" spans="1:104" x14ac:dyDescent="0.2">
      <c r="A35" s="47"/>
      <c r="B35" s="47"/>
      <c r="C35" s="49">
        <v>1</v>
      </c>
      <c r="D35" s="49">
        <v>2</v>
      </c>
      <c r="E35" s="49">
        <v>3</v>
      </c>
      <c r="F35" s="49">
        <v>4</v>
      </c>
      <c r="G35" s="49">
        <v>5</v>
      </c>
      <c r="H35" s="49">
        <v>6</v>
      </c>
      <c r="I35" s="49">
        <v>7</v>
      </c>
      <c r="J35" s="49">
        <v>8</v>
      </c>
      <c r="K35" s="49">
        <v>9</v>
      </c>
      <c r="L35" s="49">
        <v>10</v>
      </c>
      <c r="M35" s="49">
        <v>11</v>
      </c>
      <c r="N35" s="49">
        <v>12</v>
      </c>
      <c r="O35" s="49">
        <v>13</v>
      </c>
      <c r="P35" s="49">
        <v>14</v>
      </c>
      <c r="Q35" s="49">
        <v>15</v>
      </c>
      <c r="R35" s="49">
        <v>16</v>
      </c>
      <c r="S35" s="49">
        <v>17</v>
      </c>
      <c r="T35" s="49">
        <v>18</v>
      </c>
      <c r="U35" s="49">
        <v>19</v>
      </c>
      <c r="V35" s="49">
        <v>20</v>
      </c>
      <c r="W35" s="49">
        <v>21</v>
      </c>
      <c r="X35" s="49">
        <v>22</v>
      </c>
      <c r="Y35" s="49">
        <v>23</v>
      </c>
      <c r="Z35" s="49">
        <v>24</v>
      </c>
      <c r="AA35" s="49">
        <v>25</v>
      </c>
      <c r="AB35" s="49">
        <v>26</v>
      </c>
      <c r="AC35" s="49">
        <v>27</v>
      </c>
      <c r="AD35" s="49">
        <v>28</v>
      </c>
      <c r="AE35" s="49">
        <v>29</v>
      </c>
      <c r="AF35" s="49">
        <v>30</v>
      </c>
      <c r="AG35" s="49">
        <v>31</v>
      </c>
      <c r="AH35" s="49">
        <v>32</v>
      </c>
      <c r="AI35" s="49">
        <v>33</v>
      </c>
      <c r="AJ35" s="49">
        <v>34</v>
      </c>
      <c r="AK35" s="49">
        <v>35</v>
      </c>
      <c r="AL35" s="49">
        <v>36</v>
      </c>
      <c r="AM35" s="49">
        <v>37</v>
      </c>
      <c r="AN35" s="49">
        <v>38</v>
      </c>
      <c r="AO35" s="49">
        <v>39</v>
      </c>
      <c r="AP35" s="49">
        <v>40</v>
      </c>
      <c r="AQ35" s="49">
        <v>41</v>
      </c>
      <c r="AR35" s="49">
        <v>42</v>
      </c>
      <c r="AS35" s="49">
        <v>43</v>
      </c>
      <c r="AT35" s="49">
        <v>44</v>
      </c>
      <c r="AU35" s="49">
        <v>45</v>
      </c>
      <c r="AV35" s="49">
        <v>46</v>
      </c>
      <c r="AW35" s="49">
        <v>47</v>
      </c>
      <c r="AX35" s="49">
        <v>48</v>
      </c>
      <c r="AY35" s="50"/>
      <c r="AZ35" s="50"/>
      <c r="BA35" s="50"/>
      <c r="BB35" s="50"/>
      <c r="BC35" s="50"/>
      <c r="BD35" s="50"/>
    </row>
    <row r="36" spans="1:104" x14ac:dyDescent="0.2">
      <c r="A36" s="48" t="s">
        <v>5</v>
      </c>
      <c r="B36" s="47">
        <v>1</v>
      </c>
      <c r="C36" s="50">
        <v>1</v>
      </c>
      <c r="D36" s="50" t="s">
        <v>19</v>
      </c>
      <c r="E36" s="50" t="s">
        <v>19</v>
      </c>
      <c r="F36" s="50" t="s">
        <v>19</v>
      </c>
      <c r="G36" s="50" t="s">
        <v>19</v>
      </c>
      <c r="H36" s="50" t="s">
        <v>19</v>
      </c>
      <c r="I36" s="50" t="s">
        <v>19</v>
      </c>
      <c r="J36" s="50" t="s">
        <v>19</v>
      </c>
      <c r="K36" s="50">
        <v>1</v>
      </c>
      <c r="L36" s="50" t="s">
        <v>19</v>
      </c>
      <c r="M36" s="50" t="s">
        <v>19</v>
      </c>
      <c r="N36" s="50" t="s">
        <v>19</v>
      </c>
      <c r="O36" s="50" t="s">
        <v>19</v>
      </c>
      <c r="P36" s="50" t="s">
        <v>19</v>
      </c>
      <c r="Q36" s="50" t="s">
        <v>19</v>
      </c>
      <c r="R36" s="50"/>
      <c r="S36" s="50" t="s">
        <v>19</v>
      </c>
      <c r="T36" s="50" t="s">
        <v>19</v>
      </c>
      <c r="U36" s="50" t="s">
        <v>19</v>
      </c>
      <c r="V36" s="50">
        <v>1</v>
      </c>
      <c r="W36" s="50" t="s">
        <v>19</v>
      </c>
      <c r="X36" s="50" t="s">
        <v>19</v>
      </c>
      <c r="Y36" s="50" t="s">
        <v>19</v>
      </c>
      <c r="Z36" s="50" t="s">
        <v>19</v>
      </c>
      <c r="AA36" s="50" t="s">
        <v>19</v>
      </c>
      <c r="AB36" s="50">
        <v>1</v>
      </c>
      <c r="AC36" s="50" t="s">
        <v>19</v>
      </c>
      <c r="AD36" s="50" t="s">
        <v>19</v>
      </c>
      <c r="AE36" s="50" t="s">
        <v>19</v>
      </c>
      <c r="AF36" s="50" t="s">
        <v>19</v>
      </c>
      <c r="AG36" s="50" t="s">
        <v>19</v>
      </c>
      <c r="AH36" s="50" t="s">
        <v>19</v>
      </c>
      <c r="AI36" s="50" t="s">
        <v>19</v>
      </c>
      <c r="AJ36" s="50" t="s">
        <v>19</v>
      </c>
      <c r="AK36" s="50" t="s">
        <v>19</v>
      </c>
      <c r="AL36" s="50" t="s">
        <v>19</v>
      </c>
      <c r="AM36" s="50">
        <v>1</v>
      </c>
      <c r="AN36" s="50" t="s">
        <v>19</v>
      </c>
      <c r="AO36" s="50"/>
      <c r="AP36" s="50" t="s">
        <v>19</v>
      </c>
      <c r="AQ36" s="50"/>
      <c r="AR36" s="50" t="s">
        <v>19</v>
      </c>
      <c r="AS36" s="50" t="s">
        <v>19</v>
      </c>
      <c r="AT36" s="50" t="s">
        <v>19</v>
      </c>
      <c r="AU36" s="50" t="s">
        <v>19</v>
      </c>
      <c r="AV36" s="50" t="s">
        <v>19</v>
      </c>
      <c r="AW36" s="50" t="s">
        <v>19</v>
      </c>
      <c r="AX36" s="50" t="s">
        <v>19</v>
      </c>
      <c r="AY36" s="50">
        <f t="shared" ref="AY36:AY84" si="7">SUM(C36:AX36)</f>
        <v>5</v>
      </c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</row>
    <row r="37" spans="1:104" x14ac:dyDescent="0.2">
      <c r="A37" s="47"/>
      <c r="B37" s="47">
        <v>2</v>
      </c>
      <c r="C37" s="50" t="s">
        <v>19</v>
      </c>
      <c r="D37" s="50" t="s">
        <v>19</v>
      </c>
      <c r="E37" s="50" t="s">
        <v>19</v>
      </c>
      <c r="F37" s="50" t="s">
        <v>19</v>
      </c>
      <c r="G37" s="50" t="s">
        <v>19</v>
      </c>
      <c r="H37" s="50" t="s">
        <v>19</v>
      </c>
      <c r="I37" s="50" t="s">
        <v>19</v>
      </c>
      <c r="J37" s="50" t="s">
        <v>19</v>
      </c>
      <c r="K37" s="50" t="s">
        <v>19</v>
      </c>
      <c r="L37" s="50">
        <v>1</v>
      </c>
      <c r="M37" s="50"/>
      <c r="N37" s="50" t="s">
        <v>19</v>
      </c>
      <c r="O37" s="50" t="s">
        <v>19</v>
      </c>
      <c r="P37" s="50" t="s">
        <v>19</v>
      </c>
      <c r="Q37" s="50" t="s">
        <v>19</v>
      </c>
      <c r="R37" s="50" t="s">
        <v>19</v>
      </c>
      <c r="S37" s="50" t="s">
        <v>19</v>
      </c>
      <c r="T37" s="50" t="s">
        <v>19</v>
      </c>
      <c r="U37" s="50"/>
      <c r="V37" s="50" t="s">
        <v>19</v>
      </c>
      <c r="W37" s="50" t="s">
        <v>19</v>
      </c>
      <c r="X37" s="50" t="s">
        <v>19</v>
      </c>
      <c r="Y37" s="50" t="s">
        <v>19</v>
      </c>
      <c r="Z37" s="50">
        <v>1</v>
      </c>
      <c r="AA37" s="50" t="s">
        <v>19</v>
      </c>
      <c r="AB37" s="50" t="s">
        <v>19</v>
      </c>
      <c r="AC37" s="50" t="s">
        <v>19</v>
      </c>
      <c r="AD37" s="50" t="s">
        <v>19</v>
      </c>
      <c r="AE37" s="50" t="s">
        <v>19</v>
      </c>
      <c r="AF37" s="50" t="s">
        <v>19</v>
      </c>
      <c r="AG37" s="50">
        <v>1</v>
      </c>
      <c r="AH37" s="50" t="s">
        <v>19</v>
      </c>
      <c r="AI37" s="50" t="s">
        <v>19</v>
      </c>
      <c r="AJ37" s="50" t="s">
        <v>19</v>
      </c>
      <c r="AK37" s="50">
        <v>1</v>
      </c>
      <c r="AL37" s="50" t="s">
        <v>19</v>
      </c>
      <c r="AM37" s="50" t="s">
        <v>19</v>
      </c>
      <c r="AN37" s="50" t="s">
        <v>19</v>
      </c>
      <c r="AO37" s="50" t="s">
        <v>19</v>
      </c>
      <c r="AP37" s="50" t="s">
        <v>19</v>
      </c>
      <c r="AQ37" s="50" t="s">
        <v>19</v>
      </c>
      <c r="AR37" s="50" t="s">
        <v>19</v>
      </c>
      <c r="AS37" s="50" t="s">
        <v>19</v>
      </c>
      <c r="AT37" s="50" t="s">
        <v>19</v>
      </c>
      <c r="AU37" s="50" t="s">
        <v>19</v>
      </c>
      <c r="AV37" s="50" t="s">
        <v>19</v>
      </c>
      <c r="AW37" s="50">
        <v>1</v>
      </c>
      <c r="AX37" s="50" t="s">
        <v>19</v>
      </c>
      <c r="AY37" s="50">
        <f t="shared" si="7"/>
        <v>5</v>
      </c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  <c r="CW37" s="50"/>
      <c r="CX37" s="50"/>
      <c r="CY37" s="50"/>
      <c r="CZ37" s="50"/>
    </row>
    <row r="38" spans="1:104" x14ac:dyDescent="0.2">
      <c r="A38" s="47"/>
      <c r="B38" s="47">
        <v>3</v>
      </c>
      <c r="C38" s="50" t="s">
        <v>19</v>
      </c>
      <c r="D38" s="50" t="s">
        <v>19</v>
      </c>
      <c r="E38" s="50" t="s">
        <v>19</v>
      </c>
      <c r="F38" s="50" t="s">
        <v>19</v>
      </c>
      <c r="G38" s="50" t="s">
        <v>19</v>
      </c>
      <c r="H38" s="50"/>
      <c r="I38" s="50" t="s">
        <v>19</v>
      </c>
      <c r="J38" s="50" t="s">
        <v>19</v>
      </c>
      <c r="K38" s="50" t="s">
        <v>19</v>
      </c>
      <c r="L38" s="50" t="s">
        <v>19</v>
      </c>
      <c r="M38" s="50"/>
      <c r="N38" s="50" t="s">
        <v>19</v>
      </c>
      <c r="O38" s="50" t="s">
        <v>19</v>
      </c>
      <c r="P38" s="50" t="s">
        <v>19</v>
      </c>
      <c r="Q38" s="50" t="s">
        <v>19</v>
      </c>
      <c r="R38" s="50" t="s">
        <v>19</v>
      </c>
      <c r="S38" s="50" t="s">
        <v>19</v>
      </c>
      <c r="T38" s="50" t="s">
        <v>19</v>
      </c>
      <c r="U38" s="50" t="s">
        <v>19</v>
      </c>
      <c r="V38" s="50" t="s">
        <v>19</v>
      </c>
      <c r="W38" s="50" t="s">
        <v>19</v>
      </c>
      <c r="X38" s="50">
        <v>1</v>
      </c>
      <c r="Y38" s="50" t="s">
        <v>19</v>
      </c>
      <c r="Z38" s="50" t="s">
        <v>19</v>
      </c>
      <c r="AA38" s="50" t="s">
        <v>19</v>
      </c>
      <c r="AB38" s="50" t="s">
        <v>19</v>
      </c>
      <c r="AC38" s="50" t="s">
        <v>19</v>
      </c>
      <c r="AD38" s="50" t="s">
        <v>19</v>
      </c>
      <c r="AE38" s="50" t="s">
        <v>19</v>
      </c>
      <c r="AF38" s="50"/>
      <c r="AG38" s="50" t="s">
        <v>19</v>
      </c>
      <c r="AH38" s="50" t="s">
        <v>19</v>
      </c>
      <c r="AI38" s="50" t="s">
        <v>19</v>
      </c>
      <c r="AJ38" s="50">
        <v>1</v>
      </c>
      <c r="AK38" s="50"/>
      <c r="AL38" s="50" t="s">
        <v>19</v>
      </c>
      <c r="AM38" s="50" t="s">
        <v>19</v>
      </c>
      <c r="AN38" s="50" t="s">
        <v>19</v>
      </c>
      <c r="AO38" s="50" t="s">
        <v>19</v>
      </c>
      <c r="AP38" s="50">
        <v>1</v>
      </c>
      <c r="AQ38" s="50" t="s">
        <v>19</v>
      </c>
      <c r="AR38" s="50" t="s">
        <v>19</v>
      </c>
      <c r="AS38" s="50" t="s">
        <v>19</v>
      </c>
      <c r="AT38" s="50" t="s">
        <v>19</v>
      </c>
      <c r="AU38" s="50" t="s">
        <v>19</v>
      </c>
      <c r="AV38" s="50" t="s">
        <v>19</v>
      </c>
      <c r="AW38" s="50" t="s">
        <v>19</v>
      </c>
      <c r="AX38" s="50" t="s">
        <v>19</v>
      </c>
      <c r="AY38" s="50">
        <f t="shared" si="7"/>
        <v>3</v>
      </c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</row>
    <row r="39" spans="1:104" x14ac:dyDescent="0.2">
      <c r="A39" s="47"/>
      <c r="B39" s="47">
        <v>4</v>
      </c>
      <c r="C39" s="50" t="s">
        <v>19</v>
      </c>
      <c r="D39" s="50"/>
      <c r="E39" s="50" t="s">
        <v>19</v>
      </c>
      <c r="F39" s="50" t="s">
        <v>19</v>
      </c>
      <c r="G39" s="50" t="s">
        <v>19</v>
      </c>
      <c r="H39" s="50" t="s">
        <v>19</v>
      </c>
      <c r="I39" s="50" t="s">
        <v>19</v>
      </c>
      <c r="J39" s="50" t="s">
        <v>19</v>
      </c>
      <c r="K39" s="50" t="s">
        <v>19</v>
      </c>
      <c r="L39" s="50" t="s">
        <v>19</v>
      </c>
      <c r="M39" s="50" t="s">
        <v>19</v>
      </c>
      <c r="N39" s="50"/>
      <c r="O39" s="50" t="s">
        <v>19</v>
      </c>
      <c r="P39" s="50" t="s">
        <v>19</v>
      </c>
      <c r="Q39" s="50">
        <v>1</v>
      </c>
      <c r="R39" s="50" t="s">
        <v>19</v>
      </c>
      <c r="S39" s="50" t="s">
        <v>19</v>
      </c>
      <c r="T39" s="50" t="s">
        <v>19</v>
      </c>
      <c r="U39" s="50" t="s">
        <v>19</v>
      </c>
      <c r="V39" s="50" t="s">
        <v>19</v>
      </c>
      <c r="W39" s="50" t="s">
        <v>19</v>
      </c>
      <c r="X39" s="50" t="s">
        <v>19</v>
      </c>
      <c r="Y39" s="50" t="s">
        <v>19</v>
      </c>
      <c r="Z39" s="50" t="s">
        <v>19</v>
      </c>
      <c r="AA39" s="50" t="s">
        <v>19</v>
      </c>
      <c r="AB39" s="50" t="s">
        <v>19</v>
      </c>
      <c r="AC39" s="50">
        <v>1</v>
      </c>
      <c r="AD39" s="50" t="s">
        <v>19</v>
      </c>
      <c r="AE39" s="50" t="s">
        <v>19</v>
      </c>
      <c r="AF39" s="50" t="s">
        <v>19</v>
      </c>
      <c r="AG39" s="50" t="s">
        <v>19</v>
      </c>
      <c r="AH39" s="50" t="s">
        <v>19</v>
      </c>
      <c r="AI39" s="50" t="s">
        <v>19</v>
      </c>
      <c r="AJ39" s="50" t="s">
        <v>19</v>
      </c>
      <c r="AK39" s="50" t="s">
        <v>19</v>
      </c>
      <c r="AL39" s="50" t="s">
        <v>19</v>
      </c>
      <c r="AM39" s="50" t="s">
        <v>19</v>
      </c>
      <c r="AN39" s="50" t="s">
        <v>19</v>
      </c>
      <c r="AO39" s="50">
        <v>1</v>
      </c>
      <c r="AP39" s="50"/>
      <c r="AQ39" s="50" t="s">
        <v>19</v>
      </c>
      <c r="AR39" s="50" t="s">
        <v>19</v>
      </c>
      <c r="AS39" s="50" t="s">
        <v>19</v>
      </c>
      <c r="AT39" s="50" t="s">
        <v>19</v>
      </c>
      <c r="AU39" s="50" t="s">
        <v>19</v>
      </c>
      <c r="AV39" s="50" t="s">
        <v>19</v>
      </c>
      <c r="AW39" s="50" t="s">
        <v>19</v>
      </c>
      <c r="AX39" s="50">
        <v>1</v>
      </c>
      <c r="AY39" s="50">
        <f t="shared" si="7"/>
        <v>4</v>
      </c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</row>
    <row r="40" spans="1:104" x14ac:dyDescent="0.2">
      <c r="A40" s="47"/>
      <c r="B40" s="47">
        <v>5</v>
      </c>
      <c r="C40" s="50" t="s">
        <v>19</v>
      </c>
      <c r="D40" s="50"/>
      <c r="E40" s="50" t="s">
        <v>19</v>
      </c>
      <c r="F40" s="50" t="s">
        <v>19</v>
      </c>
      <c r="G40" s="50" t="s">
        <v>19</v>
      </c>
      <c r="H40" s="50" t="s">
        <v>19</v>
      </c>
      <c r="I40" s="50" t="s">
        <v>19</v>
      </c>
      <c r="J40" s="50" t="s">
        <v>19</v>
      </c>
      <c r="K40" s="50" t="s">
        <v>19</v>
      </c>
      <c r="L40" s="50" t="s">
        <v>19</v>
      </c>
      <c r="M40" s="50" t="s">
        <v>19</v>
      </c>
      <c r="N40" s="50">
        <v>1</v>
      </c>
      <c r="O40" s="50" t="s">
        <v>19</v>
      </c>
      <c r="P40" s="50" t="s">
        <v>19</v>
      </c>
      <c r="Q40" s="50" t="s">
        <v>19</v>
      </c>
      <c r="R40" s="50" t="s">
        <v>19</v>
      </c>
      <c r="S40" s="50" t="s">
        <v>19</v>
      </c>
      <c r="T40" s="50" t="s">
        <v>19</v>
      </c>
      <c r="U40" s="50" t="s">
        <v>19</v>
      </c>
      <c r="V40" s="50" t="s">
        <v>19</v>
      </c>
      <c r="W40" s="50" t="s">
        <v>19</v>
      </c>
      <c r="X40" s="50" t="s">
        <v>19</v>
      </c>
      <c r="Y40" s="50" t="s">
        <v>19</v>
      </c>
      <c r="Z40" s="50" t="s">
        <v>19</v>
      </c>
      <c r="AA40" s="50" t="s">
        <v>19</v>
      </c>
      <c r="AB40" s="50" t="s">
        <v>19</v>
      </c>
      <c r="AC40" s="50" t="s">
        <v>19</v>
      </c>
      <c r="AD40" s="50" t="s">
        <v>19</v>
      </c>
      <c r="AE40" s="50" t="s">
        <v>19</v>
      </c>
      <c r="AF40" s="50" t="s">
        <v>19</v>
      </c>
      <c r="AG40" s="50" t="s">
        <v>19</v>
      </c>
      <c r="AH40" s="50" t="s">
        <v>19</v>
      </c>
      <c r="AI40" s="50" t="s">
        <v>19</v>
      </c>
      <c r="AJ40" s="50" t="s">
        <v>19</v>
      </c>
      <c r="AK40" s="50" t="s">
        <v>19</v>
      </c>
      <c r="AL40" s="50" t="s">
        <v>19</v>
      </c>
      <c r="AM40" s="50">
        <v>1</v>
      </c>
      <c r="AN40" s="50" t="s">
        <v>19</v>
      </c>
      <c r="AO40" s="50">
        <v>1</v>
      </c>
      <c r="AP40" s="50"/>
      <c r="AQ40" s="50">
        <v>1</v>
      </c>
      <c r="AR40" s="50" t="s">
        <v>19</v>
      </c>
      <c r="AS40" s="50" t="s">
        <v>19</v>
      </c>
      <c r="AT40" s="50">
        <v>1</v>
      </c>
      <c r="AU40" s="50" t="s">
        <v>19</v>
      </c>
      <c r="AV40" s="50" t="s">
        <v>19</v>
      </c>
      <c r="AW40" s="50" t="s">
        <v>19</v>
      </c>
      <c r="AX40" s="50" t="s">
        <v>19</v>
      </c>
      <c r="AY40" s="50">
        <f t="shared" si="7"/>
        <v>5</v>
      </c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</row>
    <row r="41" spans="1:104" x14ac:dyDescent="0.2">
      <c r="A41" s="47"/>
      <c r="B41" s="47">
        <v>6</v>
      </c>
      <c r="C41" s="50" t="s">
        <v>19</v>
      </c>
      <c r="D41" s="50">
        <v>1</v>
      </c>
      <c r="E41" s="50" t="s">
        <v>19</v>
      </c>
      <c r="F41" s="50">
        <v>1</v>
      </c>
      <c r="G41" s="50"/>
      <c r="H41" s="50">
        <v>1</v>
      </c>
      <c r="I41" s="50" t="s">
        <v>19</v>
      </c>
      <c r="J41" s="50" t="s">
        <v>19</v>
      </c>
      <c r="K41" s="50" t="s">
        <v>19</v>
      </c>
      <c r="L41" s="50" t="s">
        <v>19</v>
      </c>
      <c r="M41" s="50" t="s">
        <v>19</v>
      </c>
      <c r="N41" s="50" t="s">
        <v>19</v>
      </c>
      <c r="O41" s="50" t="s">
        <v>19</v>
      </c>
      <c r="P41" s="50" t="s">
        <v>19</v>
      </c>
      <c r="Q41" s="50" t="s">
        <v>19</v>
      </c>
      <c r="R41" s="50" t="s">
        <v>19</v>
      </c>
      <c r="S41" s="50">
        <v>1</v>
      </c>
      <c r="T41" s="50" t="s">
        <v>19</v>
      </c>
      <c r="U41" s="50" t="s">
        <v>19</v>
      </c>
      <c r="V41" s="50" t="s">
        <v>19</v>
      </c>
      <c r="W41" s="50" t="s">
        <v>19</v>
      </c>
      <c r="X41" s="50" t="s">
        <v>19</v>
      </c>
      <c r="Y41" s="50">
        <v>1</v>
      </c>
      <c r="Z41" s="50" t="s">
        <v>19</v>
      </c>
      <c r="AA41" s="50" t="s">
        <v>19</v>
      </c>
      <c r="AB41" s="50" t="s">
        <v>19</v>
      </c>
      <c r="AC41" s="50" t="s">
        <v>19</v>
      </c>
      <c r="AD41" s="50">
        <v>1</v>
      </c>
      <c r="AE41" s="50"/>
      <c r="AF41" s="50" t="s">
        <v>19</v>
      </c>
      <c r="AG41" s="50" t="s">
        <v>19</v>
      </c>
      <c r="AH41" s="50" t="s">
        <v>19</v>
      </c>
      <c r="AI41" s="50" t="s">
        <v>19</v>
      </c>
      <c r="AJ41" s="50" t="s">
        <v>19</v>
      </c>
      <c r="AK41" s="50" t="s">
        <v>19</v>
      </c>
      <c r="AL41" s="50" t="s">
        <v>19</v>
      </c>
      <c r="AM41" s="50" t="s">
        <v>19</v>
      </c>
      <c r="AN41" s="50" t="s">
        <v>19</v>
      </c>
      <c r="AO41" s="50" t="s">
        <v>19</v>
      </c>
      <c r="AP41" s="50" t="s">
        <v>19</v>
      </c>
      <c r="AQ41" s="50" t="s">
        <v>19</v>
      </c>
      <c r="AR41" s="50"/>
      <c r="AS41" s="50" t="s">
        <v>19</v>
      </c>
      <c r="AT41" s="50" t="s">
        <v>19</v>
      </c>
      <c r="AU41" s="50" t="s">
        <v>19</v>
      </c>
      <c r="AV41" s="50" t="s">
        <v>19</v>
      </c>
      <c r="AW41" s="50" t="s">
        <v>19</v>
      </c>
      <c r="AX41" s="50" t="s">
        <v>19</v>
      </c>
      <c r="AY41" s="50">
        <f t="shared" si="7"/>
        <v>6</v>
      </c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</row>
    <row r="42" spans="1:104" x14ac:dyDescent="0.2">
      <c r="A42" s="47"/>
      <c r="B42" s="47">
        <v>7</v>
      </c>
      <c r="C42" s="50" t="s">
        <v>19</v>
      </c>
      <c r="D42" s="50" t="s">
        <v>19</v>
      </c>
      <c r="E42" s="50" t="s">
        <v>19</v>
      </c>
      <c r="F42" s="50" t="s">
        <v>19</v>
      </c>
      <c r="G42" s="50" t="s">
        <v>19</v>
      </c>
      <c r="H42" s="50" t="s">
        <v>19</v>
      </c>
      <c r="I42" s="50" t="s">
        <v>19</v>
      </c>
      <c r="J42" s="50" t="s">
        <v>19</v>
      </c>
      <c r="K42" s="50" t="s">
        <v>19</v>
      </c>
      <c r="L42" s="50" t="s">
        <v>19</v>
      </c>
      <c r="M42" s="50" t="s">
        <v>19</v>
      </c>
      <c r="N42" s="50" t="s">
        <v>19</v>
      </c>
      <c r="O42" s="50" t="s">
        <v>19</v>
      </c>
      <c r="P42" s="50" t="s">
        <v>19</v>
      </c>
      <c r="Q42" s="50" t="s">
        <v>19</v>
      </c>
      <c r="R42" s="50"/>
      <c r="S42" s="50">
        <v>1</v>
      </c>
      <c r="T42" s="50" t="s">
        <v>19</v>
      </c>
      <c r="U42" s="50"/>
      <c r="V42" s="50" t="s">
        <v>19</v>
      </c>
      <c r="W42" s="50" t="s">
        <v>19</v>
      </c>
      <c r="X42" s="50">
        <v>1</v>
      </c>
      <c r="Y42" s="50" t="s">
        <v>19</v>
      </c>
      <c r="Z42" s="50" t="s">
        <v>19</v>
      </c>
      <c r="AA42" s="50" t="s">
        <v>19</v>
      </c>
      <c r="AB42" s="50" t="s">
        <v>19</v>
      </c>
      <c r="AC42" s="50" t="s">
        <v>19</v>
      </c>
      <c r="AD42" s="50" t="s">
        <v>19</v>
      </c>
      <c r="AE42" s="50"/>
      <c r="AF42" s="50" t="s">
        <v>19</v>
      </c>
      <c r="AG42" s="50" t="s">
        <v>19</v>
      </c>
      <c r="AH42" s="50" t="s">
        <v>19</v>
      </c>
      <c r="AI42" s="50" t="s">
        <v>19</v>
      </c>
      <c r="AJ42" s="50" t="s">
        <v>19</v>
      </c>
      <c r="AK42" s="50" t="s">
        <v>19</v>
      </c>
      <c r="AL42" s="50">
        <v>1</v>
      </c>
      <c r="AM42" s="50" t="s">
        <v>19</v>
      </c>
      <c r="AN42" s="50" t="s">
        <v>19</v>
      </c>
      <c r="AO42" s="50" t="s">
        <v>19</v>
      </c>
      <c r="AP42" s="50">
        <v>1</v>
      </c>
      <c r="AQ42" s="50" t="s">
        <v>19</v>
      </c>
      <c r="AR42" s="50" t="s">
        <v>19</v>
      </c>
      <c r="AS42" s="50" t="s">
        <v>19</v>
      </c>
      <c r="AT42" s="50" t="s">
        <v>19</v>
      </c>
      <c r="AU42" s="50">
        <v>1</v>
      </c>
      <c r="AV42" s="50" t="s">
        <v>19</v>
      </c>
      <c r="AW42" s="50" t="s">
        <v>19</v>
      </c>
      <c r="AX42" s="50" t="s">
        <v>19</v>
      </c>
      <c r="AY42" s="50">
        <f t="shared" si="7"/>
        <v>5</v>
      </c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</row>
    <row r="43" spans="1:104" x14ac:dyDescent="0.2">
      <c r="A43" s="47"/>
      <c r="B43" s="47">
        <v>8</v>
      </c>
      <c r="C43" s="50" t="s">
        <v>19</v>
      </c>
      <c r="D43" s="50" t="s">
        <v>19</v>
      </c>
      <c r="E43" s="50" t="s">
        <v>19</v>
      </c>
      <c r="F43" s="50" t="s">
        <v>19</v>
      </c>
      <c r="G43" s="50" t="s">
        <v>19</v>
      </c>
      <c r="H43" s="50" t="s">
        <v>19</v>
      </c>
      <c r="I43" s="50">
        <v>1</v>
      </c>
      <c r="J43" s="50" t="s">
        <v>19</v>
      </c>
      <c r="K43" s="50" t="s">
        <v>19</v>
      </c>
      <c r="L43" s="50" t="s">
        <v>19</v>
      </c>
      <c r="M43" s="50" t="s">
        <v>19</v>
      </c>
      <c r="N43" s="50" t="s">
        <v>19</v>
      </c>
      <c r="O43" s="50" t="s">
        <v>19</v>
      </c>
      <c r="P43" s="50">
        <v>1</v>
      </c>
      <c r="Q43" s="50" t="s">
        <v>19</v>
      </c>
      <c r="R43" s="50">
        <v>1</v>
      </c>
      <c r="S43" s="50" t="s">
        <v>19</v>
      </c>
      <c r="T43" s="50" t="s">
        <v>19</v>
      </c>
      <c r="U43" s="50" t="s">
        <v>19</v>
      </c>
      <c r="V43" s="50" t="s">
        <v>19</v>
      </c>
      <c r="W43" s="50" t="s">
        <v>19</v>
      </c>
      <c r="X43" s="50" t="s">
        <v>19</v>
      </c>
      <c r="Y43" s="50" t="s">
        <v>19</v>
      </c>
      <c r="Z43" s="50" t="s">
        <v>19</v>
      </c>
      <c r="AA43" s="50"/>
      <c r="AB43" s="50">
        <v>1</v>
      </c>
      <c r="AC43" s="50">
        <v>1</v>
      </c>
      <c r="AD43" s="50" t="s">
        <v>19</v>
      </c>
      <c r="AE43" s="50"/>
      <c r="AF43" s="50" t="s">
        <v>19</v>
      </c>
      <c r="AG43" s="50" t="s">
        <v>19</v>
      </c>
      <c r="AH43" s="50" t="s">
        <v>19</v>
      </c>
      <c r="AI43" s="50"/>
      <c r="AJ43" s="50" t="s">
        <v>19</v>
      </c>
      <c r="AK43" s="50" t="s">
        <v>19</v>
      </c>
      <c r="AL43" s="50" t="s">
        <v>19</v>
      </c>
      <c r="AM43" s="50" t="s">
        <v>19</v>
      </c>
      <c r="AN43" s="50" t="s">
        <v>19</v>
      </c>
      <c r="AO43" s="50" t="s">
        <v>19</v>
      </c>
      <c r="AP43" s="50" t="s">
        <v>19</v>
      </c>
      <c r="AQ43" s="50" t="s">
        <v>19</v>
      </c>
      <c r="AR43" s="50" t="s">
        <v>19</v>
      </c>
      <c r="AS43" s="50" t="s">
        <v>19</v>
      </c>
      <c r="AT43" s="50" t="s">
        <v>19</v>
      </c>
      <c r="AU43" s="50" t="s">
        <v>19</v>
      </c>
      <c r="AV43" s="50" t="s">
        <v>19</v>
      </c>
      <c r="AW43" s="50" t="s">
        <v>19</v>
      </c>
      <c r="AX43" s="50" t="s">
        <v>19</v>
      </c>
      <c r="AY43" s="50">
        <f t="shared" si="7"/>
        <v>5</v>
      </c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</row>
    <row r="44" spans="1:104" x14ac:dyDescent="0.2">
      <c r="A44" s="47"/>
      <c r="B44" s="47">
        <v>9</v>
      </c>
      <c r="C44" s="50" t="s">
        <v>19</v>
      </c>
      <c r="D44" s="50" t="s">
        <v>19</v>
      </c>
      <c r="E44" s="50">
        <v>1</v>
      </c>
      <c r="F44" s="50" t="s">
        <v>19</v>
      </c>
      <c r="G44" s="50" t="s">
        <v>19</v>
      </c>
      <c r="H44" s="50" t="s">
        <v>19</v>
      </c>
      <c r="I44" s="50" t="s">
        <v>19</v>
      </c>
      <c r="J44" s="50" t="s">
        <v>19</v>
      </c>
      <c r="K44" s="50" t="s">
        <v>19</v>
      </c>
      <c r="L44" s="50" t="s">
        <v>19</v>
      </c>
      <c r="M44" s="50" t="s">
        <v>19</v>
      </c>
      <c r="N44" s="50" t="s">
        <v>19</v>
      </c>
      <c r="O44" s="50" t="s">
        <v>19</v>
      </c>
      <c r="P44" s="50" t="s">
        <v>19</v>
      </c>
      <c r="Q44" s="50" t="s">
        <v>19</v>
      </c>
      <c r="R44" s="50" t="s">
        <v>19</v>
      </c>
      <c r="S44" s="50" t="s">
        <v>19</v>
      </c>
      <c r="T44" s="50" t="s">
        <v>19</v>
      </c>
      <c r="U44" s="50" t="s">
        <v>19</v>
      </c>
      <c r="V44" s="50" t="s">
        <v>19</v>
      </c>
      <c r="W44" s="50" t="s">
        <v>19</v>
      </c>
      <c r="X44" s="50"/>
      <c r="Y44" s="50"/>
      <c r="Z44" s="50" t="s">
        <v>19</v>
      </c>
      <c r="AA44" s="50" t="s">
        <v>19</v>
      </c>
      <c r="AB44" s="50" t="s">
        <v>19</v>
      </c>
      <c r="AC44" s="50"/>
      <c r="AD44" s="50">
        <v>1</v>
      </c>
      <c r="AE44" s="50" t="s">
        <v>19</v>
      </c>
      <c r="AF44" s="50" t="s">
        <v>19</v>
      </c>
      <c r="AG44" s="50" t="s">
        <v>19</v>
      </c>
      <c r="AH44" s="50" t="s">
        <v>19</v>
      </c>
      <c r="AI44" s="50">
        <v>1</v>
      </c>
      <c r="AJ44" s="50" t="s">
        <v>19</v>
      </c>
      <c r="AK44" s="50" t="s">
        <v>19</v>
      </c>
      <c r="AL44" s="50" t="s">
        <v>19</v>
      </c>
      <c r="AM44" s="50" t="s">
        <v>19</v>
      </c>
      <c r="AN44" s="50" t="s">
        <v>19</v>
      </c>
      <c r="AO44" s="50" t="s">
        <v>19</v>
      </c>
      <c r="AP44" s="50" t="s">
        <v>19</v>
      </c>
      <c r="AQ44" s="50" t="s">
        <v>19</v>
      </c>
      <c r="AR44" s="50">
        <v>1</v>
      </c>
      <c r="AS44" s="50" t="s">
        <v>19</v>
      </c>
      <c r="AT44" s="50" t="s">
        <v>19</v>
      </c>
      <c r="AU44" s="50" t="s">
        <v>19</v>
      </c>
      <c r="AV44" s="50" t="s">
        <v>19</v>
      </c>
      <c r="AW44" s="50" t="s">
        <v>19</v>
      </c>
      <c r="AX44" s="50" t="s">
        <v>19</v>
      </c>
      <c r="AY44" s="50">
        <f t="shared" si="7"/>
        <v>4</v>
      </c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</row>
    <row r="45" spans="1:104" x14ac:dyDescent="0.2">
      <c r="A45" s="47"/>
      <c r="B45" s="47">
        <v>10</v>
      </c>
      <c r="C45" s="50" t="s">
        <v>19</v>
      </c>
      <c r="D45" s="50" t="s">
        <v>19</v>
      </c>
      <c r="E45" s="50" t="s">
        <v>19</v>
      </c>
      <c r="F45" s="50" t="s">
        <v>19</v>
      </c>
      <c r="G45" s="50" t="s">
        <v>19</v>
      </c>
      <c r="H45" s="50"/>
      <c r="I45" s="50" t="s">
        <v>19</v>
      </c>
      <c r="J45" s="50" t="s">
        <v>19</v>
      </c>
      <c r="K45" s="50" t="s">
        <v>19</v>
      </c>
      <c r="L45" s="50">
        <v>1</v>
      </c>
      <c r="M45" s="50" t="s">
        <v>19</v>
      </c>
      <c r="N45" s="50" t="s">
        <v>19</v>
      </c>
      <c r="O45" s="50" t="s">
        <v>19</v>
      </c>
      <c r="P45" s="50"/>
      <c r="Q45" s="50" t="s">
        <v>19</v>
      </c>
      <c r="R45" s="50" t="s">
        <v>19</v>
      </c>
      <c r="S45" s="50" t="s">
        <v>19</v>
      </c>
      <c r="T45" s="50" t="s">
        <v>19</v>
      </c>
      <c r="U45" s="50"/>
      <c r="V45" s="50" t="s">
        <v>19</v>
      </c>
      <c r="W45" s="50" t="s">
        <v>19</v>
      </c>
      <c r="X45" s="50" t="s">
        <v>19</v>
      </c>
      <c r="Y45" s="50" t="s">
        <v>19</v>
      </c>
      <c r="Z45" s="50" t="s">
        <v>19</v>
      </c>
      <c r="AA45" s="50" t="s">
        <v>19</v>
      </c>
      <c r="AB45" s="50">
        <v>1</v>
      </c>
      <c r="AC45" s="50" t="s">
        <v>19</v>
      </c>
      <c r="AD45" s="50" t="s">
        <v>19</v>
      </c>
      <c r="AE45" s="50">
        <v>1</v>
      </c>
      <c r="AF45" s="50" t="s">
        <v>19</v>
      </c>
      <c r="AG45" s="50">
        <v>1</v>
      </c>
      <c r="AH45" s="50" t="s">
        <v>19</v>
      </c>
      <c r="AI45" s="50" t="s">
        <v>19</v>
      </c>
      <c r="AJ45" s="50" t="s">
        <v>19</v>
      </c>
      <c r="AK45" s="50" t="s">
        <v>19</v>
      </c>
      <c r="AL45" s="50">
        <v>1</v>
      </c>
      <c r="AM45" s="50" t="s">
        <v>19</v>
      </c>
      <c r="AN45" s="50" t="s">
        <v>19</v>
      </c>
      <c r="AO45" s="50" t="s">
        <v>19</v>
      </c>
      <c r="AP45" s="50" t="s">
        <v>19</v>
      </c>
      <c r="AQ45" s="50" t="s">
        <v>19</v>
      </c>
      <c r="AR45" s="50" t="s">
        <v>19</v>
      </c>
      <c r="AS45" s="50" t="s">
        <v>19</v>
      </c>
      <c r="AT45" s="50" t="s">
        <v>19</v>
      </c>
      <c r="AU45" s="50">
        <v>1</v>
      </c>
      <c r="AV45" s="50" t="s">
        <v>19</v>
      </c>
      <c r="AW45" s="50" t="s">
        <v>19</v>
      </c>
      <c r="AX45" s="50" t="s">
        <v>19</v>
      </c>
      <c r="AY45" s="50">
        <f t="shared" si="7"/>
        <v>6</v>
      </c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</row>
    <row r="46" spans="1:104" x14ac:dyDescent="0.2">
      <c r="A46" s="47"/>
      <c r="B46" s="47">
        <v>11</v>
      </c>
      <c r="C46" s="50" t="s">
        <v>19</v>
      </c>
      <c r="D46" s="50" t="s">
        <v>19</v>
      </c>
      <c r="E46" s="50" t="s">
        <v>19</v>
      </c>
      <c r="F46" s="50" t="s">
        <v>19</v>
      </c>
      <c r="G46" s="50" t="s">
        <v>19</v>
      </c>
      <c r="H46" s="50" t="s">
        <v>19</v>
      </c>
      <c r="I46" s="50" t="s">
        <v>19</v>
      </c>
      <c r="J46" s="50" t="s">
        <v>19</v>
      </c>
      <c r="K46" s="50" t="s">
        <v>19</v>
      </c>
      <c r="L46" s="50" t="s">
        <v>19</v>
      </c>
      <c r="M46" s="50" t="s">
        <v>19</v>
      </c>
      <c r="N46" s="50" t="s">
        <v>19</v>
      </c>
      <c r="O46" s="50" t="s">
        <v>19</v>
      </c>
      <c r="P46" s="50">
        <v>1</v>
      </c>
      <c r="Q46" s="50" t="s">
        <v>19</v>
      </c>
      <c r="R46" s="50" t="s">
        <v>19</v>
      </c>
      <c r="S46" s="50" t="s">
        <v>19</v>
      </c>
      <c r="T46" s="50" t="s">
        <v>19</v>
      </c>
      <c r="U46" s="50" t="s">
        <v>19</v>
      </c>
      <c r="V46" s="50" t="s">
        <v>19</v>
      </c>
      <c r="W46" s="50" t="s">
        <v>19</v>
      </c>
      <c r="X46" s="50" t="s">
        <v>19</v>
      </c>
      <c r="Y46" s="50" t="s">
        <v>19</v>
      </c>
      <c r="Z46" s="50" t="s">
        <v>19</v>
      </c>
      <c r="AA46" s="50" t="s">
        <v>19</v>
      </c>
      <c r="AB46" s="50" t="s">
        <v>19</v>
      </c>
      <c r="AC46" s="50">
        <v>1</v>
      </c>
      <c r="AD46" s="50"/>
      <c r="AE46" s="50" t="s">
        <v>19</v>
      </c>
      <c r="AF46" s="50" t="s">
        <v>19</v>
      </c>
      <c r="AG46" s="50" t="s">
        <v>19</v>
      </c>
      <c r="AH46" s="50">
        <v>1</v>
      </c>
      <c r="AI46" s="50" t="s">
        <v>19</v>
      </c>
      <c r="AJ46" s="50" t="s">
        <v>19</v>
      </c>
      <c r="AK46" s="50" t="s">
        <v>19</v>
      </c>
      <c r="AL46" s="50" t="s">
        <v>19</v>
      </c>
      <c r="AM46" s="50" t="s">
        <v>19</v>
      </c>
      <c r="AN46" s="50">
        <v>1</v>
      </c>
      <c r="AO46" s="50" t="s">
        <v>19</v>
      </c>
      <c r="AP46" s="50" t="s">
        <v>19</v>
      </c>
      <c r="AQ46" s="50" t="s">
        <v>19</v>
      </c>
      <c r="AR46" s="50" t="s">
        <v>19</v>
      </c>
      <c r="AS46" s="50" t="s">
        <v>19</v>
      </c>
      <c r="AT46" s="50" t="s">
        <v>19</v>
      </c>
      <c r="AU46" s="50" t="s">
        <v>19</v>
      </c>
      <c r="AV46" s="50" t="s">
        <v>19</v>
      </c>
      <c r="AW46" s="50" t="s">
        <v>19</v>
      </c>
      <c r="AX46" s="50" t="s">
        <v>19</v>
      </c>
      <c r="AY46" s="50">
        <f t="shared" si="7"/>
        <v>4</v>
      </c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</row>
    <row r="47" spans="1:104" x14ac:dyDescent="0.2">
      <c r="A47" s="47"/>
      <c r="B47" s="47">
        <v>12</v>
      </c>
      <c r="C47" s="50" t="s">
        <v>19</v>
      </c>
      <c r="D47" s="50" t="s">
        <v>19</v>
      </c>
      <c r="E47" s="50" t="s">
        <v>19</v>
      </c>
      <c r="F47" s="50" t="s">
        <v>19</v>
      </c>
      <c r="G47" s="50" t="s">
        <v>19</v>
      </c>
      <c r="H47" s="50" t="s">
        <v>19</v>
      </c>
      <c r="I47" s="50" t="s">
        <v>19</v>
      </c>
      <c r="J47" s="50" t="s">
        <v>19</v>
      </c>
      <c r="K47" s="50">
        <v>1</v>
      </c>
      <c r="L47" s="50" t="s">
        <v>19</v>
      </c>
      <c r="M47" s="50" t="s">
        <v>19</v>
      </c>
      <c r="N47" s="50" t="s">
        <v>19</v>
      </c>
      <c r="O47" s="50" t="s">
        <v>19</v>
      </c>
      <c r="P47" s="50" t="s">
        <v>19</v>
      </c>
      <c r="Q47" s="50">
        <v>1</v>
      </c>
      <c r="R47" s="50" t="s">
        <v>19</v>
      </c>
      <c r="S47" s="50" t="s">
        <v>19</v>
      </c>
      <c r="T47" s="50"/>
      <c r="U47" s="50" t="s">
        <v>19</v>
      </c>
      <c r="V47" s="50" t="s">
        <v>19</v>
      </c>
      <c r="W47" s="50" t="s">
        <v>19</v>
      </c>
      <c r="X47" s="50" t="s">
        <v>19</v>
      </c>
      <c r="Y47" s="50" t="s">
        <v>19</v>
      </c>
      <c r="Z47" s="50" t="s">
        <v>19</v>
      </c>
      <c r="AA47" s="50" t="s">
        <v>19</v>
      </c>
      <c r="AB47" s="50"/>
      <c r="AC47" s="50" t="s">
        <v>19</v>
      </c>
      <c r="AD47" s="50">
        <v>1</v>
      </c>
      <c r="AE47" s="50" t="s">
        <v>19</v>
      </c>
      <c r="AF47" s="50" t="s">
        <v>19</v>
      </c>
      <c r="AG47" s="50" t="s">
        <v>19</v>
      </c>
      <c r="AH47" s="50">
        <v>1</v>
      </c>
      <c r="AI47" s="50" t="s">
        <v>19</v>
      </c>
      <c r="AJ47" s="50" t="s">
        <v>19</v>
      </c>
      <c r="AK47" s="50" t="s">
        <v>19</v>
      </c>
      <c r="AL47" s="50" t="s">
        <v>19</v>
      </c>
      <c r="AM47" s="50" t="s">
        <v>19</v>
      </c>
      <c r="AN47" s="50">
        <v>1</v>
      </c>
      <c r="AO47" s="50" t="s">
        <v>19</v>
      </c>
      <c r="AP47" s="50" t="s">
        <v>19</v>
      </c>
      <c r="AQ47" s="50" t="s">
        <v>19</v>
      </c>
      <c r="AR47" s="50" t="s">
        <v>19</v>
      </c>
      <c r="AS47" s="50" t="s">
        <v>19</v>
      </c>
      <c r="AT47" s="50" t="s">
        <v>19</v>
      </c>
      <c r="AU47" s="50" t="s">
        <v>19</v>
      </c>
      <c r="AV47" s="50" t="s">
        <v>19</v>
      </c>
      <c r="AW47" s="50" t="s">
        <v>19</v>
      </c>
      <c r="AX47" s="50"/>
      <c r="AY47" s="50">
        <f t="shared" si="7"/>
        <v>5</v>
      </c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</row>
    <row r="48" spans="1:104" x14ac:dyDescent="0.2">
      <c r="A48" s="47"/>
      <c r="B48" s="47">
        <v>13</v>
      </c>
      <c r="C48" s="50" t="s">
        <v>19</v>
      </c>
      <c r="D48" s="50" t="s">
        <v>19</v>
      </c>
      <c r="E48" s="50" t="s">
        <v>19</v>
      </c>
      <c r="F48" s="50" t="s">
        <v>19</v>
      </c>
      <c r="G48" s="50" t="s">
        <v>19</v>
      </c>
      <c r="H48" s="50" t="s">
        <v>19</v>
      </c>
      <c r="I48" s="50"/>
      <c r="J48" s="50" t="s">
        <v>19</v>
      </c>
      <c r="K48" s="50" t="s">
        <v>19</v>
      </c>
      <c r="L48" s="50" t="s">
        <v>19</v>
      </c>
      <c r="M48" s="50" t="s">
        <v>19</v>
      </c>
      <c r="N48" s="50" t="s">
        <v>19</v>
      </c>
      <c r="O48" s="50"/>
      <c r="P48" s="50" t="s">
        <v>19</v>
      </c>
      <c r="Q48" s="50" t="s">
        <v>19</v>
      </c>
      <c r="R48" s="50" t="s">
        <v>19</v>
      </c>
      <c r="S48" s="50">
        <v>1</v>
      </c>
      <c r="T48" s="50">
        <v>1</v>
      </c>
      <c r="U48" s="50" t="s">
        <v>19</v>
      </c>
      <c r="V48" s="50" t="s">
        <v>19</v>
      </c>
      <c r="W48" s="50" t="s">
        <v>19</v>
      </c>
      <c r="X48" s="50" t="s">
        <v>19</v>
      </c>
      <c r="Y48" s="50" t="s">
        <v>19</v>
      </c>
      <c r="Z48" s="50" t="s">
        <v>19</v>
      </c>
      <c r="AA48" s="50" t="s">
        <v>19</v>
      </c>
      <c r="AB48" s="50" t="s">
        <v>19</v>
      </c>
      <c r="AC48" s="50" t="s">
        <v>19</v>
      </c>
      <c r="AD48" s="50" t="s">
        <v>19</v>
      </c>
      <c r="AE48" s="50" t="s">
        <v>19</v>
      </c>
      <c r="AF48" s="50" t="s">
        <v>19</v>
      </c>
      <c r="AG48" s="50" t="s">
        <v>19</v>
      </c>
      <c r="AH48" s="50" t="s">
        <v>19</v>
      </c>
      <c r="AI48" s="50" t="s">
        <v>19</v>
      </c>
      <c r="AJ48" s="50">
        <v>1</v>
      </c>
      <c r="AK48" s="50" t="s">
        <v>19</v>
      </c>
      <c r="AL48" s="50" t="s">
        <v>19</v>
      </c>
      <c r="AM48" s="50">
        <v>1</v>
      </c>
      <c r="AN48" s="50"/>
      <c r="AO48" s="50" t="s">
        <v>19</v>
      </c>
      <c r="AP48" s="50" t="s">
        <v>19</v>
      </c>
      <c r="AQ48" s="50" t="s">
        <v>19</v>
      </c>
      <c r="AR48" s="50" t="s">
        <v>19</v>
      </c>
      <c r="AS48" s="50" t="s">
        <v>19</v>
      </c>
      <c r="AT48" s="50" t="s">
        <v>19</v>
      </c>
      <c r="AU48" s="50" t="s">
        <v>19</v>
      </c>
      <c r="AV48" s="50" t="s">
        <v>19</v>
      </c>
      <c r="AW48" s="50" t="s">
        <v>19</v>
      </c>
      <c r="AX48" s="50" t="s">
        <v>19</v>
      </c>
      <c r="AY48" s="50">
        <f t="shared" si="7"/>
        <v>4</v>
      </c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</row>
    <row r="49" spans="1:104" x14ac:dyDescent="0.2">
      <c r="A49" s="47"/>
      <c r="B49" s="47">
        <v>14</v>
      </c>
      <c r="C49" s="50">
        <v>1</v>
      </c>
      <c r="D49" s="50" t="s">
        <v>19</v>
      </c>
      <c r="E49" s="50" t="s">
        <v>19</v>
      </c>
      <c r="F49" s="50">
        <v>1</v>
      </c>
      <c r="G49" s="50" t="s">
        <v>19</v>
      </c>
      <c r="H49" s="50" t="s">
        <v>19</v>
      </c>
      <c r="I49" s="50" t="s">
        <v>19</v>
      </c>
      <c r="J49" s="50" t="s">
        <v>19</v>
      </c>
      <c r="K49" s="50" t="s">
        <v>19</v>
      </c>
      <c r="L49" s="50" t="s">
        <v>19</v>
      </c>
      <c r="M49" s="50" t="s">
        <v>19</v>
      </c>
      <c r="N49" s="50" t="s">
        <v>19</v>
      </c>
      <c r="O49" s="50" t="s">
        <v>19</v>
      </c>
      <c r="P49" s="50"/>
      <c r="Q49" s="50" t="s">
        <v>19</v>
      </c>
      <c r="R49" s="50" t="s">
        <v>19</v>
      </c>
      <c r="S49" s="50" t="s">
        <v>19</v>
      </c>
      <c r="T49" s="50" t="s">
        <v>19</v>
      </c>
      <c r="U49" s="50"/>
      <c r="V49" s="50">
        <v>1</v>
      </c>
      <c r="W49" s="50" t="s">
        <v>19</v>
      </c>
      <c r="X49" s="50" t="s">
        <v>19</v>
      </c>
      <c r="Y49" s="50" t="s">
        <v>19</v>
      </c>
      <c r="Z49" s="50"/>
      <c r="AA49" s="50" t="s">
        <v>19</v>
      </c>
      <c r="AB49" s="50">
        <v>1</v>
      </c>
      <c r="AC49" s="50" t="s">
        <v>19</v>
      </c>
      <c r="AD49" s="50" t="s">
        <v>19</v>
      </c>
      <c r="AE49" s="50" t="s">
        <v>19</v>
      </c>
      <c r="AF49" s="50" t="s">
        <v>19</v>
      </c>
      <c r="AG49" s="50" t="s">
        <v>19</v>
      </c>
      <c r="AH49" s="50" t="s">
        <v>19</v>
      </c>
      <c r="AI49" s="50" t="s">
        <v>19</v>
      </c>
      <c r="AJ49" s="50" t="s">
        <v>19</v>
      </c>
      <c r="AK49" s="50" t="s">
        <v>19</v>
      </c>
      <c r="AL49" s="50" t="s">
        <v>19</v>
      </c>
      <c r="AM49" s="50" t="s">
        <v>19</v>
      </c>
      <c r="AN49" s="50" t="s">
        <v>19</v>
      </c>
      <c r="AO49" s="50" t="s">
        <v>19</v>
      </c>
      <c r="AP49" s="50" t="s">
        <v>19</v>
      </c>
      <c r="AQ49" s="50" t="s">
        <v>19</v>
      </c>
      <c r="AR49" s="50" t="s">
        <v>19</v>
      </c>
      <c r="AS49" s="50" t="s">
        <v>19</v>
      </c>
      <c r="AT49" s="50"/>
      <c r="AU49" s="50" t="s">
        <v>19</v>
      </c>
      <c r="AV49" s="50" t="s">
        <v>19</v>
      </c>
      <c r="AW49" s="50">
        <v>1</v>
      </c>
      <c r="AX49" s="50" t="s">
        <v>19</v>
      </c>
      <c r="AY49" s="50">
        <f t="shared" si="7"/>
        <v>5</v>
      </c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</row>
    <row r="50" spans="1:104" x14ac:dyDescent="0.2">
      <c r="A50" s="47"/>
      <c r="B50" s="47">
        <v>15</v>
      </c>
      <c r="C50" s="50" t="s">
        <v>19</v>
      </c>
      <c r="D50" s="50" t="s">
        <v>19</v>
      </c>
      <c r="E50" s="50" t="s">
        <v>19</v>
      </c>
      <c r="F50" s="50" t="s">
        <v>19</v>
      </c>
      <c r="G50" s="50" t="s">
        <v>19</v>
      </c>
      <c r="H50" s="50" t="s">
        <v>19</v>
      </c>
      <c r="I50" s="50" t="s">
        <v>19</v>
      </c>
      <c r="J50" s="50">
        <v>1</v>
      </c>
      <c r="K50" s="50" t="s">
        <v>19</v>
      </c>
      <c r="L50" s="50" t="s">
        <v>19</v>
      </c>
      <c r="M50" s="50" t="s">
        <v>19</v>
      </c>
      <c r="N50" s="50" t="s">
        <v>19</v>
      </c>
      <c r="O50" s="50" t="s">
        <v>19</v>
      </c>
      <c r="P50" s="50" t="s">
        <v>19</v>
      </c>
      <c r="Q50" s="50"/>
      <c r="R50" s="50">
        <v>1</v>
      </c>
      <c r="S50" s="50" t="s">
        <v>19</v>
      </c>
      <c r="T50" s="50" t="s">
        <v>19</v>
      </c>
      <c r="U50" s="50" t="s">
        <v>19</v>
      </c>
      <c r="V50" s="50" t="s">
        <v>19</v>
      </c>
      <c r="W50" s="50" t="s">
        <v>19</v>
      </c>
      <c r="X50" s="50" t="s">
        <v>19</v>
      </c>
      <c r="Y50" s="50" t="s">
        <v>19</v>
      </c>
      <c r="Z50" s="50" t="s">
        <v>19</v>
      </c>
      <c r="AA50" s="50" t="s">
        <v>19</v>
      </c>
      <c r="AB50" s="50">
        <v>1</v>
      </c>
      <c r="AC50" s="50" t="s">
        <v>19</v>
      </c>
      <c r="AD50" s="50"/>
      <c r="AE50" s="50" t="s">
        <v>19</v>
      </c>
      <c r="AF50" s="50" t="s">
        <v>19</v>
      </c>
      <c r="AG50" s="50" t="s">
        <v>19</v>
      </c>
      <c r="AH50" s="50"/>
      <c r="AI50" s="50" t="s">
        <v>19</v>
      </c>
      <c r="AJ50" s="50" t="s">
        <v>19</v>
      </c>
      <c r="AK50" s="50" t="s">
        <v>19</v>
      </c>
      <c r="AL50" s="50" t="s">
        <v>19</v>
      </c>
      <c r="AM50" s="50" t="s">
        <v>19</v>
      </c>
      <c r="AN50" s="50" t="s">
        <v>19</v>
      </c>
      <c r="AO50" s="50" t="s">
        <v>19</v>
      </c>
      <c r="AP50" s="50" t="s">
        <v>19</v>
      </c>
      <c r="AQ50" s="50">
        <v>1</v>
      </c>
      <c r="AR50" s="50" t="s">
        <v>19</v>
      </c>
      <c r="AS50" s="50" t="s">
        <v>19</v>
      </c>
      <c r="AT50" s="50">
        <v>1</v>
      </c>
      <c r="AU50" s="50" t="s">
        <v>19</v>
      </c>
      <c r="AV50" s="50" t="s">
        <v>19</v>
      </c>
      <c r="AW50" s="50" t="s">
        <v>19</v>
      </c>
      <c r="AX50" s="50" t="s">
        <v>19</v>
      </c>
      <c r="AY50" s="50">
        <f t="shared" si="7"/>
        <v>5</v>
      </c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</row>
    <row r="51" spans="1:104" x14ac:dyDescent="0.2">
      <c r="A51" s="47"/>
      <c r="B51" s="47">
        <v>16</v>
      </c>
      <c r="C51" s="50" t="s">
        <v>19</v>
      </c>
      <c r="D51" s="50" t="s">
        <v>19</v>
      </c>
      <c r="E51" s="50" t="s">
        <v>19</v>
      </c>
      <c r="F51" s="50" t="s">
        <v>19</v>
      </c>
      <c r="G51" s="50" t="s">
        <v>19</v>
      </c>
      <c r="H51" s="50" t="s">
        <v>19</v>
      </c>
      <c r="I51" s="50" t="s">
        <v>19</v>
      </c>
      <c r="J51" s="50" t="s">
        <v>19</v>
      </c>
      <c r="K51" s="50" t="s">
        <v>19</v>
      </c>
      <c r="L51" s="50" t="s">
        <v>19</v>
      </c>
      <c r="M51" s="50" t="s">
        <v>19</v>
      </c>
      <c r="N51" s="50" t="s">
        <v>19</v>
      </c>
      <c r="O51" s="50" t="s">
        <v>19</v>
      </c>
      <c r="P51" s="50"/>
      <c r="Q51" s="50" t="s">
        <v>19</v>
      </c>
      <c r="R51" s="50" t="s">
        <v>19</v>
      </c>
      <c r="S51" s="50"/>
      <c r="T51" s="50" t="s">
        <v>19</v>
      </c>
      <c r="U51" s="50" t="s">
        <v>19</v>
      </c>
      <c r="V51" s="50" t="s">
        <v>19</v>
      </c>
      <c r="W51" s="50" t="s">
        <v>19</v>
      </c>
      <c r="X51" s="50" t="s">
        <v>19</v>
      </c>
      <c r="Y51" s="50" t="s">
        <v>19</v>
      </c>
      <c r="Z51" s="50" t="s">
        <v>19</v>
      </c>
      <c r="AA51" s="50" t="s">
        <v>19</v>
      </c>
      <c r="AB51" s="50" t="s">
        <v>19</v>
      </c>
      <c r="AC51" s="50" t="s">
        <v>19</v>
      </c>
      <c r="AD51" s="50">
        <v>1</v>
      </c>
      <c r="AE51" s="50" t="s">
        <v>19</v>
      </c>
      <c r="AF51" s="50">
        <v>1</v>
      </c>
      <c r="AG51" s="50" t="s">
        <v>19</v>
      </c>
      <c r="AH51" s="50" t="s">
        <v>19</v>
      </c>
      <c r="AI51" s="50" t="s">
        <v>19</v>
      </c>
      <c r="AJ51" s="50" t="s">
        <v>19</v>
      </c>
      <c r="AK51" s="50" t="s">
        <v>19</v>
      </c>
      <c r="AL51" s="50" t="s">
        <v>19</v>
      </c>
      <c r="AM51" s="50" t="s">
        <v>19</v>
      </c>
      <c r="AN51" s="50">
        <v>1</v>
      </c>
      <c r="AO51" s="50">
        <v>1</v>
      </c>
      <c r="AP51" s="50" t="s">
        <v>19</v>
      </c>
      <c r="AQ51" s="50" t="s">
        <v>19</v>
      </c>
      <c r="AR51" s="50"/>
      <c r="AS51" s="50" t="s">
        <v>19</v>
      </c>
      <c r="AT51" s="50" t="s">
        <v>19</v>
      </c>
      <c r="AU51" s="50"/>
      <c r="AV51" s="50" t="s">
        <v>19</v>
      </c>
      <c r="AW51" s="50" t="s">
        <v>19</v>
      </c>
      <c r="AX51" s="50" t="s">
        <v>19</v>
      </c>
      <c r="AY51" s="50">
        <f t="shared" si="7"/>
        <v>4</v>
      </c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</row>
    <row r="52" spans="1:104" s="47" customFormat="1" x14ac:dyDescent="0.2">
      <c r="B52" s="47">
        <v>17</v>
      </c>
      <c r="C52" s="50" t="s">
        <v>19</v>
      </c>
      <c r="D52" s="50" t="s">
        <v>19</v>
      </c>
      <c r="E52" s="50"/>
      <c r="F52" s="50" t="s">
        <v>19</v>
      </c>
      <c r="G52" s="50">
        <v>1</v>
      </c>
      <c r="H52" s="50" t="s">
        <v>19</v>
      </c>
      <c r="I52" s="50" t="s">
        <v>19</v>
      </c>
      <c r="J52" s="50" t="s">
        <v>19</v>
      </c>
      <c r="K52" s="50" t="s">
        <v>19</v>
      </c>
      <c r="L52" s="50" t="s">
        <v>19</v>
      </c>
      <c r="M52" s="50" t="s">
        <v>19</v>
      </c>
      <c r="N52" s="50" t="s">
        <v>19</v>
      </c>
      <c r="O52" s="50" t="s">
        <v>19</v>
      </c>
      <c r="P52" s="50">
        <v>1</v>
      </c>
      <c r="Q52" s="50" t="s">
        <v>19</v>
      </c>
      <c r="R52" s="50" t="s">
        <v>19</v>
      </c>
      <c r="S52" s="50" t="s">
        <v>19</v>
      </c>
      <c r="T52" s="50" t="s">
        <v>19</v>
      </c>
      <c r="U52" s="50" t="s">
        <v>19</v>
      </c>
      <c r="V52" s="50" t="s">
        <v>19</v>
      </c>
      <c r="W52" s="50" t="s">
        <v>19</v>
      </c>
      <c r="X52" s="50" t="s">
        <v>19</v>
      </c>
      <c r="Y52" s="50"/>
      <c r="Z52" s="50" t="s">
        <v>19</v>
      </c>
      <c r="AA52" s="50" t="s">
        <v>19</v>
      </c>
      <c r="AB52" s="50" t="s">
        <v>19</v>
      </c>
      <c r="AC52" s="50" t="s">
        <v>19</v>
      </c>
      <c r="AD52" s="50" t="s">
        <v>19</v>
      </c>
      <c r="AE52" s="50" t="s">
        <v>19</v>
      </c>
      <c r="AF52" s="50" t="s">
        <v>19</v>
      </c>
      <c r="AG52" s="50" t="s">
        <v>19</v>
      </c>
      <c r="AH52" s="50" t="s">
        <v>19</v>
      </c>
      <c r="AI52" s="50" t="s">
        <v>19</v>
      </c>
      <c r="AJ52" s="50" t="s">
        <v>19</v>
      </c>
      <c r="AK52" s="50" t="s">
        <v>19</v>
      </c>
      <c r="AL52" s="50"/>
      <c r="AM52" s="50" t="s">
        <v>19</v>
      </c>
      <c r="AN52" s="50" t="s">
        <v>19</v>
      </c>
      <c r="AO52" s="50" t="s">
        <v>19</v>
      </c>
      <c r="AP52" s="50">
        <v>1</v>
      </c>
      <c r="AQ52" s="50" t="s">
        <v>19</v>
      </c>
      <c r="AR52" s="50" t="s">
        <v>19</v>
      </c>
      <c r="AS52" s="50" t="s">
        <v>19</v>
      </c>
      <c r="AT52" s="50" t="s">
        <v>19</v>
      </c>
      <c r="AU52" s="50" t="s">
        <v>19</v>
      </c>
      <c r="AV52" s="50">
        <v>1</v>
      </c>
      <c r="AW52" s="50" t="s">
        <v>19</v>
      </c>
      <c r="AX52" s="50" t="s">
        <v>19</v>
      </c>
      <c r="AY52" s="50">
        <f t="shared" si="7"/>
        <v>4</v>
      </c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</row>
    <row r="53" spans="1:104" s="47" customFormat="1" x14ac:dyDescent="0.2">
      <c r="B53" s="47">
        <v>18</v>
      </c>
      <c r="C53" s="50" t="s">
        <v>19</v>
      </c>
      <c r="D53" s="50" t="s">
        <v>19</v>
      </c>
      <c r="E53" s="50">
        <v>1</v>
      </c>
      <c r="F53" s="50" t="s">
        <v>19</v>
      </c>
      <c r="G53" s="50" t="s">
        <v>19</v>
      </c>
      <c r="H53" s="50" t="s">
        <v>19</v>
      </c>
      <c r="I53" s="50" t="s">
        <v>19</v>
      </c>
      <c r="J53" s="50" t="s">
        <v>19</v>
      </c>
      <c r="K53" s="50" t="s">
        <v>19</v>
      </c>
      <c r="L53" s="50" t="s">
        <v>19</v>
      </c>
      <c r="M53" s="50" t="s">
        <v>19</v>
      </c>
      <c r="N53" s="50" t="s">
        <v>19</v>
      </c>
      <c r="O53" s="50" t="s">
        <v>19</v>
      </c>
      <c r="P53" s="50"/>
      <c r="Q53" s="50" t="s">
        <v>19</v>
      </c>
      <c r="R53" s="50" t="s">
        <v>19</v>
      </c>
      <c r="S53" s="50" t="s">
        <v>19</v>
      </c>
      <c r="T53" s="50" t="s">
        <v>19</v>
      </c>
      <c r="U53" s="50" t="s">
        <v>19</v>
      </c>
      <c r="V53" s="50" t="s">
        <v>19</v>
      </c>
      <c r="W53" s="50" t="s">
        <v>19</v>
      </c>
      <c r="X53" s="50" t="s">
        <v>19</v>
      </c>
      <c r="Y53" s="50" t="s">
        <v>19</v>
      </c>
      <c r="Z53" s="50" t="s">
        <v>19</v>
      </c>
      <c r="AA53" s="50" t="s">
        <v>19</v>
      </c>
      <c r="AB53" s="50">
        <v>1</v>
      </c>
      <c r="AC53" s="50" t="s">
        <v>19</v>
      </c>
      <c r="AD53" s="50" t="s">
        <v>19</v>
      </c>
      <c r="AE53" s="50" t="s">
        <v>19</v>
      </c>
      <c r="AF53" s="50" t="s">
        <v>19</v>
      </c>
      <c r="AG53" s="50" t="s">
        <v>19</v>
      </c>
      <c r="AH53" s="50" t="s">
        <v>19</v>
      </c>
      <c r="AI53" s="50" t="s">
        <v>19</v>
      </c>
      <c r="AJ53" s="50" t="s">
        <v>19</v>
      </c>
      <c r="AK53" s="50">
        <v>1</v>
      </c>
      <c r="AL53" s="50" t="s">
        <v>19</v>
      </c>
      <c r="AM53" s="50" t="s">
        <v>19</v>
      </c>
      <c r="AN53" s="50" t="s">
        <v>19</v>
      </c>
      <c r="AO53" s="50" t="s">
        <v>19</v>
      </c>
      <c r="AP53" s="50" t="s">
        <v>19</v>
      </c>
      <c r="AQ53" s="50" t="s">
        <v>19</v>
      </c>
      <c r="AR53" s="50" t="s">
        <v>19</v>
      </c>
      <c r="AS53" s="50" t="s">
        <v>19</v>
      </c>
      <c r="AT53" s="50" t="s">
        <v>19</v>
      </c>
      <c r="AU53" s="50" t="s">
        <v>19</v>
      </c>
      <c r="AV53" s="50" t="s">
        <v>19</v>
      </c>
      <c r="AW53" s="50" t="s">
        <v>19</v>
      </c>
      <c r="AX53" s="50">
        <v>1</v>
      </c>
      <c r="AY53" s="50">
        <f t="shared" si="7"/>
        <v>4</v>
      </c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</row>
    <row r="54" spans="1:104" s="47" customFormat="1" x14ac:dyDescent="0.2">
      <c r="B54" s="47">
        <v>19</v>
      </c>
      <c r="C54" s="50" t="s">
        <v>19</v>
      </c>
      <c r="D54" s="50"/>
      <c r="E54" s="50" t="s">
        <v>19</v>
      </c>
      <c r="F54" s="50" t="s">
        <v>19</v>
      </c>
      <c r="G54" s="50" t="s">
        <v>19</v>
      </c>
      <c r="H54" s="50" t="s">
        <v>19</v>
      </c>
      <c r="I54" s="50" t="s">
        <v>19</v>
      </c>
      <c r="J54" s="50" t="s">
        <v>19</v>
      </c>
      <c r="K54" s="50" t="s">
        <v>19</v>
      </c>
      <c r="L54" s="50" t="s">
        <v>19</v>
      </c>
      <c r="M54" s="50">
        <v>1</v>
      </c>
      <c r="N54" s="50" t="s">
        <v>19</v>
      </c>
      <c r="O54" s="50">
        <v>1</v>
      </c>
      <c r="P54" s="50" t="s">
        <v>19</v>
      </c>
      <c r="Q54" s="50" t="s">
        <v>19</v>
      </c>
      <c r="R54" s="50" t="s">
        <v>19</v>
      </c>
      <c r="S54" s="50" t="s">
        <v>19</v>
      </c>
      <c r="T54" s="50" t="s">
        <v>19</v>
      </c>
      <c r="U54" s="50">
        <v>1</v>
      </c>
      <c r="V54" s="50" t="s">
        <v>19</v>
      </c>
      <c r="W54" s="50" t="s">
        <v>19</v>
      </c>
      <c r="X54" s="50" t="s">
        <v>19</v>
      </c>
      <c r="Y54" s="50" t="s">
        <v>19</v>
      </c>
      <c r="Z54" s="50">
        <v>1</v>
      </c>
      <c r="AA54" s="50" t="s">
        <v>19</v>
      </c>
      <c r="AB54" s="50" t="s">
        <v>19</v>
      </c>
      <c r="AC54" s="50" t="s">
        <v>19</v>
      </c>
      <c r="AD54" s="50" t="s">
        <v>19</v>
      </c>
      <c r="AE54" s="50" t="s">
        <v>19</v>
      </c>
      <c r="AF54" s="50"/>
      <c r="AG54" s="50" t="s">
        <v>19</v>
      </c>
      <c r="AH54" s="50" t="s">
        <v>19</v>
      </c>
      <c r="AI54" s="50" t="s">
        <v>19</v>
      </c>
      <c r="AJ54" s="50" t="s">
        <v>19</v>
      </c>
      <c r="AK54" s="50" t="s">
        <v>19</v>
      </c>
      <c r="AL54" s="50" t="s">
        <v>19</v>
      </c>
      <c r="AM54" s="50" t="s">
        <v>19</v>
      </c>
      <c r="AN54" s="50" t="s">
        <v>19</v>
      </c>
      <c r="AO54" s="50" t="s">
        <v>19</v>
      </c>
      <c r="AP54" s="50" t="s">
        <v>19</v>
      </c>
      <c r="AQ54" s="50" t="s">
        <v>19</v>
      </c>
      <c r="AR54" s="50" t="s">
        <v>19</v>
      </c>
      <c r="AS54" s="50" t="s">
        <v>19</v>
      </c>
      <c r="AT54" s="50" t="s">
        <v>19</v>
      </c>
      <c r="AU54" s="50" t="s">
        <v>19</v>
      </c>
      <c r="AV54" s="50" t="s">
        <v>19</v>
      </c>
      <c r="AW54" s="50" t="s">
        <v>19</v>
      </c>
      <c r="AX54" s="50">
        <v>1</v>
      </c>
      <c r="AY54" s="50">
        <f t="shared" si="7"/>
        <v>5</v>
      </c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</row>
    <row r="55" spans="1:104" s="47" customFormat="1" x14ac:dyDescent="0.2">
      <c r="B55" s="47">
        <v>20</v>
      </c>
      <c r="C55" s="50" t="s">
        <v>19</v>
      </c>
      <c r="D55" s="50" t="s">
        <v>19</v>
      </c>
      <c r="E55" s="50">
        <v>1</v>
      </c>
      <c r="F55" s="50" t="s">
        <v>19</v>
      </c>
      <c r="G55" s="50" t="s">
        <v>19</v>
      </c>
      <c r="H55" s="50" t="s">
        <v>19</v>
      </c>
      <c r="I55" s="50" t="s">
        <v>19</v>
      </c>
      <c r="J55" s="50"/>
      <c r="K55" s="50" t="s">
        <v>19</v>
      </c>
      <c r="L55" s="50" t="s">
        <v>19</v>
      </c>
      <c r="M55" s="50" t="s">
        <v>19</v>
      </c>
      <c r="N55" s="50" t="s">
        <v>19</v>
      </c>
      <c r="O55" s="50">
        <v>1</v>
      </c>
      <c r="P55" s="50" t="s">
        <v>19</v>
      </c>
      <c r="Q55" s="50" t="s">
        <v>19</v>
      </c>
      <c r="R55" s="50"/>
      <c r="S55" s="50">
        <v>1</v>
      </c>
      <c r="T55" s="50" t="s">
        <v>19</v>
      </c>
      <c r="U55" s="50" t="s">
        <v>19</v>
      </c>
      <c r="V55" s="50">
        <v>1</v>
      </c>
      <c r="W55" s="50" t="s">
        <v>19</v>
      </c>
      <c r="X55" s="50" t="s">
        <v>19</v>
      </c>
      <c r="Y55" s="50" t="s">
        <v>19</v>
      </c>
      <c r="Z55" s="50" t="s">
        <v>19</v>
      </c>
      <c r="AA55" s="50" t="s">
        <v>19</v>
      </c>
      <c r="AB55" s="50" t="s">
        <v>19</v>
      </c>
      <c r="AC55" s="50" t="s">
        <v>19</v>
      </c>
      <c r="AD55" s="50" t="s">
        <v>19</v>
      </c>
      <c r="AE55" s="50" t="s">
        <v>19</v>
      </c>
      <c r="AF55" s="50"/>
      <c r="AG55" s="50" t="s">
        <v>19</v>
      </c>
      <c r="AH55" s="50" t="s">
        <v>19</v>
      </c>
      <c r="AI55" s="50" t="s">
        <v>19</v>
      </c>
      <c r="AJ55" s="50" t="s">
        <v>19</v>
      </c>
      <c r="AK55" s="50" t="s">
        <v>19</v>
      </c>
      <c r="AL55" s="50" t="s">
        <v>19</v>
      </c>
      <c r="AM55" s="50" t="s">
        <v>19</v>
      </c>
      <c r="AN55" s="50" t="s">
        <v>19</v>
      </c>
      <c r="AO55" s="50" t="s">
        <v>19</v>
      </c>
      <c r="AP55" s="50" t="s">
        <v>19</v>
      </c>
      <c r="AQ55" s="50"/>
      <c r="AR55" s="50" t="s">
        <v>19</v>
      </c>
      <c r="AS55" s="50" t="s">
        <v>19</v>
      </c>
      <c r="AT55" s="50" t="s">
        <v>19</v>
      </c>
      <c r="AU55" s="50" t="s">
        <v>19</v>
      </c>
      <c r="AV55" s="50" t="s">
        <v>19</v>
      </c>
      <c r="AW55" s="50" t="s">
        <v>19</v>
      </c>
      <c r="AX55" s="50" t="s">
        <v>19</v>
      </c>
      <c r="AY55" s="50">
        <f t="shared" si="7"/>
        <v>4</v>
      </c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  <c r="CW55" s="50"/>
      <c r="CX55" s="50"/>
      <c r="CY55" s="50"/>
      <c r="CZ55" s="50"/>
    </row>
    <row r="56" spans="1:104" s="47" customFormat="1" x14ac:dyDescent="0.2">
      <c r="B56" s="47">
        <v>21</v>
      </c>
      <c r="C56" s="50" t="s">
        <v>19</v>
      </c>
      <c r="D56" s="50" t="s">
        <v>19</v>
      </c>
      <c r="E56" s="50">
        <v>1</v>
      </c>
      <c r="F56" s="50" t="s">
        <v>19</v>
      </c>
      <c r="G56" s="50" t="s">
        <v>19</v>
      </c>
      <c r="H56" s="50" t="s">
        <v>19</v>
      </c>
      <c r="I56" s="50" t="s">
        <v>19</v>
      </c>
      <c r="J56" s="50" t="s">
        <v>19</v>
      </c>
      <c r="K56" s="50" t="s">
        <v>19</v>
      </c>
      <c r="L56" s="50"/>
      <c r="M56" s="50" t="s">
        <v>19</v>
      </c>
      <c r="N56" s="50" t="s">
        <v>19</v>
      </c>
      <c r="O56" s="50" t="s">
        <v>19</v>
      </c>
      <c r="P56" s="50" t="s">
        <v>19</v>
      </c>
      <c r="Q56" s="50" t="s">
        <v>19</v>
      </c>
      <c r="R56" s="50" t="s">
        <v>19</v>
      </c>
      <c r="S56" s="50">
        <v>1</v>
      </c>
      <c r="T56" s="50">
        <v>1</v>
      </c>
      <c r="U56" s="50" t="s">
        <v>19</v>
      </c>
      <c r="V56" s="50" t="s">
        <v>19</v>
      </c>
      <c r="W56" s="50" t="s">
        <v>19</v>
      </c>
      <c r="X56" s="50" t="s">
        <v>19</v>
      </c>
      <c r="Y56" s="50"/>
      <c r="Z56" s="50" t="s">
        <v>19</v>
      </c>
      <c r="AA56" s="50" t="s">
        <v>19</v>
      </c>
      <c r="AB56" s="50" t="s">
        <v>19</v>
      </c>
      <c r="AC56" s="50" t="s">
        <v>19</v>
      </c>
      <c r="AD56" s="50" t="s">
        <v>19</v>
      </c>
      <c r="AE56" s="50" t="s">
        <v>19</v>
      </c>
      <c r="AF56" s="50" t="s">
        <v>19</v>
      </c>
      <c r="AG56" s="50" t="s">
        <v>19</v>
      </c>
      <c r="AH56" s="50" t="s">
        <v>19</v>
      </c>
      <c r="AI56" s="50"/>
      <c r="AJ56" s="50" t="s">
        <v>19</v>
      </c>
      <c r="AK56" s="50" t="s">
        <v>19</v>
      </c>
      <c r="AL56" s="50" t="s">
        <v>19</v>
      </c>
      <c r="AM56" s="50" t="s">
        <v>19</v>
      </c>
      <c r="AN56" s="50" t="s">
        <v>19</v>
      </c>
      <c r="AO56" s="50" t="s">
        <v>19</v>
      </c>
      <c r="AP56" s="50">
        <v>1</v>
      </c>
      <c r="AQ56" s="50" t="s">
        <v>19</v>
      </c>
      <c r="AR56" s="50" t="s">
        <v>19</v>
      </c>
      <c r="AS56" s="50" t="s">
        <v>19</v>
      </c>
      <c r="AT56" s="50" t="s">
        <v>19</v>
      </c>
      <c r="AU56" s="50" t="s">
        <v>19</v>
      </c>
      <c r="AV56" s="50" t="s">
        <v>19</v>
      </c>
      <c r="AW56" s="50" t="s">
        <v>19</v>
      </c>
      <c r="AX56" s="50" t="s">
        <v>19</v>
      </c>
      <c r="AY56" s="50">
        <f t="shared" si="7"/>
        <v>4</v>
      </c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  <c r="CW56" s="50"/>
      <c r="CX56" s="50"/>
      <c r="CY56" s="50"/>
      <c r="CZ56" s="50"/>
    </row>
    <row r="57" spans="1:104" s="47" customFormat="1" x14ac:dyDescent="0.2">
      <c r="B57" s="47">
        <v>22</v>
      </c>
      <c r="C57" s="50" t="s">
        <v>19</v>
      </c>
      <c r="D57" s="50" t="s">
        <v>19</v>
      </c>
      <c r="E57" s="50" t="s">
        <v>19</v>
      </c>
      <c r="F57" s="50" t="s">
        <v>19</v>
      </c>
      <c r="G57" s="50" t="s">
        <v>19</v>
      </c>
      <c r="H57" s="50" t="s">
        <v>19</v>
      </c>
      <c r="I57" s="50" t="s">
        <v>19</v>
      </c>
      <c r="J57" s="50" t="s">
        <v>19</v>
      </c>
      <c r="K57" s="50" t="s">
        <v>19</v>
      </c>
      <c r="L57" s="50" t="s">
        <v>19</v>
      </c>
      <c r="M57" s="50" t="s">
        <v>19</v>
      </c>
      <c r="N57" s="50" t="s">
        <v>19</v>
      </c>
      <c r="O57" s="50" t="s">
        <v>19</v>
      </c>
      <c r="P57" s="50" t="s">
        <v>19</v>
      </c>
      <c r="Q57" s="50" t="s">
        <v>19</v>
      </c>
      <c r="R57" s="50">
        <v>1</v>
      </c>
      <c r="S57" s="50" t="s">
        <v>19</v>
      </c>
      <c r="T57" s="50"/>
      <c r="U57" s="50" t="s">
        <v>19</v>
      </c>
      <c r="V57" s="50" t="s">
        <v>19</v>
      </c>
      <c r="W57" s="50" t="s">
        <v>19</v>
      </c>
      <c r="X57" s="50" t="s">
        <v>19</v>
      </c>
      <c r="Y57" s="50" t="s">
        <v>19</v>
      </c>
      <c r="Z57" s="50" t="s">
        <v>19</v>
      </c>
      <c r="AA57" s="50">
        <v>1</v>
      </c>
      <c r="AB57" s="50" t="s">
        <v>19</v>
      </c>
      <c r="AC57" s="50" t="s">
        <v>19</v>
      </c>
      <c r="AD57" s="50" t="s">
        <v>19</v>
      </c>
      <c r="AE57" s="50" t="s">
        <v>19</v>
      </c>
      <c r="AF57" s="50"/>
      <c r="AG57" s="50" t="s">
        <v>19</v>
      </c>
      <c r="AH57" s="50" t="s">
        <v>19</v>
      </c>
      <c r="AI57" s="50" t="s">
        <v>19</v>
      </c>
      <c r="AJ57" s="50" t="s">
        <v>19</v>
      </c>
      <c r="AK57" s="50" t="s">
        <v>19</v>
      </c>
      <c r="AL57" s="50">
        <v>1</v>
      </c>
      <c r="AM57" s="50" t="s">
        <v>19</v>
      </c>
      <c r="AN57" s="50" t="s">
        <v>19</v>
      </c>
      <c r="AO57" s="50" t="s">
        <v>19</v>
      </c>
      <c r="AP57" s="50" t="s">
        <v>19</v>
      </c>
      <c r="AQ57" s="50" t="s">
        <v>19</v>
      </c>
      <c r="AR57" s="50" t="s">
        <v>19</v>
      </c>
      <c r="AS57" s="50" t="s">
        <v>19</v>
      </c>
      <c r="AT57" s="50" t="s">
        <v>19</v>
      </c>
      <c r="AU57" s="50" t="s">
        <v>19</v>
      </c>
      <c r="AV57" s="50" t="s">
        <v>19</v>
      </c>
      <c r="AW57" s="50" t="s">
        <v>19</v>
      </c>
      <c r="AX57" s="50" t="s">
        <v>19</v>
      </c>
      <c r="AY57" s="50">
        <f t="shared" si="7"/>
        <v>3</v>
      </c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</row>
    <row r="58" spans="1:104" s="47" customFormat="1" x14ac:dyDescent="0.2">
      <c r="B58" s="47">
        <v>23</v>
      </c>
      <c r="C58" s="50" t="s">
        <v>19</v>
      </c>
      <c r="D58" s="50" t="s">
        <v>19</v>
      </c>
      <c r="E58" s="50" t="s">
        <v>19</v>
      </c>
      <c r="F58" s="50" t="s">
        <v>19</v>
      </c>
      <c r="G58" s="50">
        <v>1</v>
      </c>
      <c r="H58" s="50" t="s">
        <v>19</v>
      </c>
      <c r="I58" s="50" t="s">
        <v>19</v>
      </c>
      <c r="J58" s="50" t="s">
        <v>19</v>
      </c>
      <c r="K58" s="50" t="s">
        <v>19</v>
      </c>
      <c r="L58" s="50">
        <v>1</v>
      </c>
      <c r="M58" s="50" t="s">
        <v>19</v>
      </c>
      <c r="N58" s="50" t="s">
        <v>19</v>
      </c>
      <c r="O58" s="50" t="s">
        <v>19</v>
      </c>
      <c r="P58" s="50" t="s">
        <v>19</v>
      </c>
      <c r="Q58" s="50" t="s">
        <v>19</v>
      </c>
      <c r="R58" s="50" t="s">
        <v>19</v>
      </c>
      <c r="S58" s="50" t="s">
        <v>19</v>
      </c>
      <c r="T58" s="50" t="s">
        <v>19</v>
      </c>
      <c r="U58" s="50" t="s">
        <v>19</v>
      </c>
      <c r="V58" s="50" t="s">
        <v>19</v>
      </c>
      <c r="W58" s="50">
        <v>1</v>
      </c>
      <c r="X58" s="50" t="s">
        <v>19</v>
      </c>
      <c r="Y58" s="50"/>
      <c r="Z58" s="50" t="s">
        <v>19</v>
      </c>
      <c r="AA58" s="50" t="s">
        <v>19</v>
      </c>
      <c r="AB58" s="50" t="s">
        <v>19</v>
      </c>
      <c r="AC58" s="50" t="s">
        <v>19</v>
      </c>
      <c r="AD58" s="50" t="s">
        <v>19</v>
      </c>
      <c r="AE58" s="50" t="s">
        <v>19</v>
      </c>
      <c r="AF58" s="50" t="s">
        <v>19</v>
      </c>
      <c r="AG58" s="50" t="s">
        <v>19</v>
      </c>
      <c r="AH58" s="50" t="s">
        <v>19</v>
      </c>
      <c r="AI58" s="50" t="s">
        <v>19</v>
      </c>
      <c r="AJ58" s="50"/>
      <c r="AK58" s="50" t="s">
        <v>19</v>
      </c>
      <c r="AL58" s="50" t="s">
        <v>19</v>
      </c>
      <c r="AM58" s="50" t="s">
        <v>19</v>
      </c>
      <c r="AN58" s="50" t="s">
        <v>19</v>
      </c>
      <c r="AO58" s="50" t="s">
        <v>19</v>
      </c>
      <c r="AP58" s="50" t="s">
        <v>19</v>
      </c>
      <c r="AQ58" s="50">
        <v>1</v>
      </c>
      <c r="AR58" s="50"/>
      <c r="AS58" s="50" t="s">
        <v>19</v>
      </c>
      <c r="AT58" s="50" t="s">
        <v>19</v>
      </c>
      <c r="AU58" s="50" t="s">
        <v>19</v>
      </c>
      <c r="AV58" s="50" t="s">
        <v>19</v>
      </c>
      <c r="AW58" s="50" t="s">
        <v>19</v>
      </c>
      <c r="AX58" s="50" t="s">
        <v>19</v>
      </c>
      <c r="AY58" s="50">
        <f t="shared" si="7"/>
        <v>4</v>
      </c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</row>
    <row r="59" spans="1:104" s="47" customFormat="1" x14ac:dyDescent="0.2">
      <c r="B59" s="47">
        <v>24</v>
      </c>
      <c r="C59" s="50" t="s">
        <v>19</v>
      </c>
      <c r="D59" s="50" t="s">
        <v>19</v>
      </c>
      <c r="E59" s="50" t="s">
        <v>19</v>
      </c>
      <c r="F59" s="50" t="s">
        <v>19</v>
      </c>
      <c r="G59" s="50" t="s">
        <v>19</v>
      </c>
      <c r="H59" s="50" t="s">
        <v>19</v>
      </c>
      <c r="I59" s="50" t="s">
        <v>19</v>
      </c>
      <c r="J59" s="50">
        <v>1</v>
      </c>
      <c r="K59" s="50" t="s">
        <v>19</v>
      </c>
      <c r="L59" s="50" t="s">
        <v>19</v>
      </c>
      <c r="M59" s="50" t="s">
        <v>19</v>
      </c>
      <c r="N59" s="50"/>
      <c r="O59" s="50" t="s">
        <v>19</v>
      </c>
      <c r="P59" s="50" t="s">
        <v>19</v>
      </c>
      <c r="Q59" s="50" t="s">
        <v>19</v>
      </c>
      <c r="R59" s="50" t="s">
        <v>19</v>
      </c>
      <c r="S59" s="50" t="s">
        <v>19</v>
      </c>
      <c r="T59" s="50" t="s">
        <v>19</v>
      </c>
      <c r="U59" s="50" t="s">
        <v>19</v>
      </c>
      <c r="V59" s="50"/>
      <c r="W59" s="50">
        <v>1</v>
      </c>
      <c r="X59" s="50" t="s">
        <v>19</v>
      </c>
      <c r="Y59" s="50" t="s">
        <v>19</v>
      </c>
      <c r="Z59" s="50" t="s">
        <v>19</v>
      </c>
      <c r="AA59" s="50" t="s">
        <v>19</v>
      </c>
      <c r="AB59" s="50" t="s">
        <v>19</v>
      </c>
      <c r="AC59" s="50" t="s">
        <v>19</v>
      </c>
      <c r="AD59" s="50" t="s">
        <v>19</v>
      </c>
      <c r="AE59" s="50" t="s">
        <v>19</v>
      </c>
      <c r="AF59" s="50" t="s">
        <v>19</v>
      </c>
      <c r="AG59" s="50" t="s">
        <v>19</v>
      </c>
      <c r="AH59" s="50" t="s">
        <v>19</v>
      </c>
      <c r="AI59" s="50" t="s">
        <v>19</v>
      </c>
      <c r="AJ59" s="50"/>
      <c r="AK59" s="50">
        <v>1</v>
      </c>
      <c r="AL59" s="50" t="s">
        <v>19</v>
      </c>
      <c r="AM59" s="50">
        <v>1</v>
      </c>
      <c r="AN59" s="50"/>
      <c r="AO59" s="50" t="s">
        <v>19</v>
      </c>
      <c r="AP59" s="50"/>
      <c r="AQ59" s="50" t="s">
        <v>19</v>
      </c>
      <c r="AR59" s="50" t="s">
        <v>19</v>
      </c>
      <c r="AS59" s="50" t="s">
        <v>19</v>
      </c>
      <c r="AT59" s="50" t="s">
        <v>19</v>
      </c>
      <c r="AU59" s="50" t="s">
        <v>19</v>
      </c>
      <c r="AV59" s="50" t="s">
        <v>19</v>
      </c>
      <c r="AW59" s="50" t="s">
        <v>19</v>
      </c>
      <c r="AX59" s="50" t="s">
        <v>19</v>
      </c>
      <c r="AY59" s="50">
        <f t="shared" si="7"/>
        <v>4</v>
      </c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</row>
    <row r="60" spans="1:104" s="47" customFormat="1" x14ac:dyDescent="0.2">
      <c r="B60" s="47">
        <v>25</v>
      </c>
      <c r="C60" s="50">
        <v>1</v>
      </c>
      <c r="D60" s="50" t="s">
        <v>19</v>
      </c>
      <c r="E60" s="50">
        <v>1</v>
      </c>
      <c r="F60" s="50" t="s">
        <v>19</v>
      </c>
      <c r="G60" s="50" t="s">
        <v>19</v>
      </c>
      <c r="H60" s="50" t="s">
        <v>19</v>
      </c>
      <c r="I60" s="50"/>
      <c r="J60" s="50" t="s">
        <v>19</v>
      </c>
      <c r="K60" s="50" t="s">
        <v>19</v>
      </c>
      <c r="L60" s="50" t="s">
        <v>19</v>
      </c>
      <c r="M60" s="50" t="s">
        <v>19</v>
      </c>
      <c r="N60" s="50" t="s">
        <v>19</v>
      </c>
      <c r="O60" s="50" t="s">
        <v>19</v>
      </c>
      <c r="P60" s="50">
        <v>1</v>
      </c>
      <c r="Q60" s="50" t="s">
        <v>19</v>
      </c>
      <c r="R60" s="50" t="s">
        <v>19</v>
      </c>
      <c r="S60" s="50" t="s">
        <v>19</v>
      </c>
      <c r="T60" s="50" t="s">
        <v>19</v>
      </c>
      <c r="U60" s="50" t="s">
        <v>19</v>
      </c>
      <c r="V60" s="50" t="s">
        <v>19</v>
      </c>
      <c r="W60" s="50" t="s">
        <v>19</v>
      </c>
      <c r="X60" s="50" t="s">
        <v>19</v>
      </c>
      <c r="Y60" s="50" t="s">
        <v>19</v>
      </c>
      <c r="Z60" s="50" t="s">
        <v>19</v>
      </c>
      <c r="AA60" s="50" t="s">
        <v>19</v>
      </c>
      <c r="AB60" s="50" t="s">
        <v>19</v>
      </c>
      <c r="AC60" s="50" t="s">
        <v>19</v>
      </c>
      <c r="AD60" s="50" t="s">
        <v>19</v>
      </c>
      <c r="AE60" s="50" t="s">
        <v>19</v>
      </c>
      <c r="AF60" s="50" t="s">
        <v>19</v>
      </c>
      <c r="AG60" s="50" t="s">
        <v>19</v>
      </c>
      <c r="AH60" s="50" t="s">
        <v>19</v>
      </c>
      <c r="AI60" s="50"/>
      <c r="AJ60" s="50" t="s">
        <v>19</v>
      </c>
      <c r="AK60" s="50" t="s">
        <v>19</v>
      </c>
      <c r="AL60" s="50" t="s">
        <v>19</v>
      </c>
      <c r="AM60" s="50" t="s">
        <v>19</v>
      </c>
      <c r="AN60" s="50" t="s">
        <v>19</v>
      </c>
      <c r="AO60" s="50" t="s">
        <v>19</v>
      </c>
      <c r="AP60" s="50" t="s">
        <v>19</v>
      </c>
      <c r="AQ60" s="50"/>
      <c r="AR60" s="50" t="s">
        <v>19</v>
      </c>
      <c r="AS60" s="50" t="s">
        <v>19</v>
      </c>
      <c r="AT60" s="50" t="s">
        <v>19</v>
      </c>
      <c r="AU60" s="50" t="s">
        <v>19</v>
      </c>
      <c r="AV60" s="50" t="s">
        <v>19</v>
      </c>
      <c r="AW60" s="50">
        <v>1</v>
      </c>
      <c r="AX60" s="50" t="s">
        <v>19</v>
      </c>
      <c r="AY60" s="50">
        <f t="shared" si="7"/>
        <v>4</v>
      </c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</row>
    <row r="61" spans="1:104" s="47" customFormat="1" x14ac:dyDescent="0.2">
      <c r="B61" s="47">
        <v>26</v>
      </c>
      <c r="C61" s="50" t="s">
        <v>19</v>
      </c>
      <c r="D61" s="50" t="s">
        <v>19</v>
      </c>
      <c r="E61" s="50" t="s">
        <v>19</v>
      </c>
      <c r="F61" s="50" t="s">
        <v>19</v>
      </c>
      <c r="G61" s="50" t="s">
        <v>19</v>
      </c>
      <c r="H61" s="50" t="s">
        <v>19</v>
      </c>
      <c r="I61" s="50" t="s">
        <v>19</v>
      </c>
      <c r="J61" s="50" t="s">
        <v>19</v>
      </c>
      <c r="K61" s="50">
        <v>1</v>
      </c>
      <c r="L61" s="50" t="s">
        <v>19</v>
      </c>
      <c r="M61" s="50" t="s">
        <v>19</v>
      </c>
      <c r="N61" s="50" t="s">
        <v>19</v>
      </c>
      <c r="O61" s="50">
        <v>1</v>
      </c>
      <c r="P61" s="50" t="s">
        <v>19</v>
      </c>
      <c r="Q61" s="50" t="s">
        <v>19</v>
      </c>
      <c r="R61" s="50" t="s">
        <v>19</v>
      </c>
      <c r="S61" s="50" t="s">
        <v>19</v>
      </c>
      <c r="T61" s="50" t="s">
        <v>19</v>
      </c>
      <c r="U61" s="50" t="s">
        <v>19</v>
      </c>
      <c r="V61" s="50" t="s">
        <v>19</v>
      </c>
      <c r="W61" s="50" t="s">
        <v>19</v>
      </c>
      <c r="X61" s="50" t="s">
        <v>19</v>
      </c>
      <c r="Y61" s="50">
        <v>1</v>
      </c>
      <c r="Z61" s="50" t="s">
        <v>19</v>
      </c>
      <c r="AA61" s="50" t="s">
        <v>19</v>
      </c>
      <c r="AB61" s="50" t="s">
        <v>19</v>
      </c>
      <c r="AC61" s="50" t="s">
        <v>19</v>
      </c>
      <c r="AD61" s="50" t="s">
        <v>19</v>
      </c>
      <c r="AE61" s="50" t="s">
        <v>19</v>
      </c>
      <c r="AF61" s="50"/>
      <c r="AG61" s="50" t="s">
        <v>19</v>
      </c>
      <c r="AH61" s="50"/>
      <c r="AI61" s="50" t="s">
        <v>19</v>
      </c>
      <c r="AJ61" s="50" t="s">
        <v>19</v>
      </c>
      <c r="AK61" s="50" t="s">
        <v>19</v>
      </c>
      <c r="AL61" s="50" t="s">
        <v>19</v>
      </c>
      <c r="AM61" s="50" t="s">
        <v>19</v>
      </c>
      <c r="AN61" s="50" t="s">
        <v>19</v>
      </c>
      <c r="AO61" s="50" t="s">
        <v>19</v>
      </c>
      <c r="AP61" s="50" t="s">
        <v>19</v>
      </c>
      <c r="AQ61" s="50"/>
      <c r="AR61" s="50"/>
      <c r="AS61" s="50" t="s">
        <v>19</v>
      </c>
      <c r="AT61" s="50" t="s">
        <v>19</v>
      </c>
      <c r="AU61" s="50" t="s">
        <v>19</v>
      </c>
      <c r="AV61" s="50">
        <v>1</v>
      </c>
      <c r="AW61" s="50" t="s">
        <v>19</v>
      </c>
      <c r="AX61" s="50" t="s">
        <v>19</v>
      </c>
      <c r="AY61" s="50">
        <f t="shared" si="7"/>
        <v>4</v>
      </c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</row>
    <row r="62" spans="1:104" s="47" customFormat="1" x14ac:dyDescent="0.2">
      <c r="B62" s="47">
        <v>27</v>
      </c>
      <c r="C62" s="50" t="s">
        <v>19</v>
      </c>
      <c r="D62" s="50" t="s">
        <v>19</v>
      </c>
      <c r="E62" s="50" t="s">
        <v>19</v>
      </c>
      <c r="F62" s="50" t="s">
        <v>19</v>
      </c>
      <c r="G62" s="50" t="s">
        <v>19</v>
      </c>
      <c r="H62" s="50" t="s">
        <v>19</v>
      </c>
      <c r="I62" s="50" t="s">
        <v>19</v>
      </c>
      <c r="J62" s="50" t="s">
        <v>19</v>
      </c>
      <c r="K62" s="50">
        <v>1</v>
      </c>
      <c r="L62" s="50" t="s">
        <v>19</v>
      </c>
      <c r="M62" s="50" t="s">
        <v>19</v>
      </c>
      <c r="N62" s="50" t="s">
        <v>19</v>
      </c>
      <c r="O62" s="50" t="s">
        <v>19</v>
      </c>
      <c r="P62" s="50" t="s">
        <v>19</v>
      </c>
      <c r="Q62" s="50" t="s">
        <v>19</v>
      </c>
      <c r="R62" s="50" t="s">
        <v>19</v>
      </c>
      <c r="S62" s="50" t="s">
        <v>19</v>
      </c>
      <c r="T62" s="50" t="s">
        <v>19</v>
      </c>
      <c r="U62" s="50" t="s">
        <v>19</v>
      </c>
      <c r="V62" s="50"/>
      <c r="W62" s="50" t="s">
        <v>19</v>
      </c>
      <c r="X62" s="50" t="s">
        <v>19</v>
      </c>
      <c r="Y62" s="50" t="s">
        <v>19</v>
      </c>
      <c r="Z62" s="50" t="s">
        <v>19</v>
      </c>
      <c r="AA62" s="50" t="s">
        <v>19</v>
      </c>
      <c r="AB62" s="50"/>
      <c r="AC62" s="50">
        <v>1</v>
      </c>
      <c r="AD62" s="50" t="s">
        <v>19</v>
      </c>
      <c r="AE62" s="50" t="s">
        <v>19</v>
      </c>
      <c r="AF62" s="50" t="s">
        <v>19</v>
      </c>
      <c r="AG62" s="50">
        <v>1</v>
      </c>
      <c r="AH62" s="50" t="s">
        <v>19</v>
      </c>
      <c r="AI62" s="50" t="s">
        <v>19</v>
      </c>
      <c r="AJ62" s="50">
        <v>1</v>
      </c>
      <c r="AK62" s="50" t="s">
        <v>19</v>
      </c>
      <c r="AL62" s="50" t="s">
        <v>19</v>
      </c>
      <c r="AM62" s="50"/>
      <c r="AN62" s="50" t="s">
        <v>19</v>
      </c>
      <c r="AO62" s="50" t="s">
        <v>19</v>
      </c>
      <c r="AP62" s="50" t="s">
        <v>19</v>
      </c>
      <c r="AQ62" s="50" t="s">
        <v>19</v>
      </c>
      <c r="AR62" s="50" t="s">
        <v>19</v>
      </c>
      <c r="AS62" s="50"/>
      <c r="AT62" s="50" t="s">
        <v>19</v>
      </c>
      <c r="AU62" s="50" t="s">
        <v>19</v>
      </c>
      <c r="AV62" s="50" t="s">
        <v>19</v>
      </c>
      <c r="AW62" s="50" t="s">
        <v>19</v>
      </c>
      <c r="AX62" s="50" t="s">
        <v>19</v>
      </c>
      <c r="AY62" s="50">
        <f t="shared" si="7"/>
        <v>4</v>
      </c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  <c r="CW62" s="50"/>
      <c r="CX62" s="50"/>
      <c r="CY62" s="50"/>
      <c r="CZ62" s="50"/>
    </row>
    <row r="63" spans="1:104" s="47" customFormat="1" x14ac:dyDescent="0.2">
      <c r="B63" s="47">
        <v>28</v>
      </c>
      <c r="C63" s="50" t="s">
        <v>19</v>
      </c>
      <c r="D63" s="50" t="s">
        <v>19</v>
      </c>
      <c r="E63" s="50">
        <v>1</v>
      </c>
      <c r="F63" s="50" t="s">
        <v>19</v>
      </c>
      <c r="G63" s="50" t="s">
        <v>19</v>
      </c>
      <c r="H63" s="50" t="s">
        <v>19</v>
      </c>
      <c r="I63" s="50" t="s">
        <v>19</v>
      </c>
      <c r="J63" s="50" t="s">
        <v>19</v>
      </c>
      <c r="K63" s="50" t="s">
        <v>19</v>
      </c>
      <c r="L63" s="50" t="s">
        <v>19</v>
      </c>
      <c r="M63" s="50" t="s">
        <v>19</v>
      </c>
      <c r="N63" s="50" t="s">
        <v>19</v>
      </c>
      <c r="O63" s="50">
        <v>1</v>
      </c>
      <c r="P63" s="50" t="s">
        <v>19</v>
      </c>
      <c r="Q63" s="50" t="s">
        <v>19</v>
      </c>
      <c r="R63" s="50"/>
      <c r="S63" s="50" t="s">
        <v>19</v>
      </c>
      <c r="T63" s="50" t="s">
        <v>19</v>
      </c>
      <c r="U63" s="50" t="s">
        <v>19</v>
      </c>
      <c r="V63" s="50">
        <v>1</v>
      </c>
      <c r="W63" s="50" t="s">
        <v>19</v>
      </c>
      <c r="X63" s="50"/>
      <c r="Y63" s="50" t="s">
        <v>19</v>
      </c>
      <c r="Z63" s="50" t="s">
        <v>19</v>
      </c>
      <c r="AA63" s="50" t="s">
        <v>19</v>
      </c>
      <c r="AB63" s="50" t="s">
        <v>19</v>
      </c>
      <c r="AC63" s="50" t="s">
        <v>19</v>
      </c>
      <c r="AD63" s="50" t="s">
        <v>19</v>
      </c>
      <c r="AE63" s="50" t="s">
        <v>19</v>
      </c>
      <c r="AF63" s="50">
        <v>1</v>
      </c>
      <c r="AG63" s="50" t="s">
        <v>19</v>
      </c>
      <c r="AH63" s="50" t="s">
        <v>19</v>
      </c>
      <c r="AI63" s="50" t="s">
        <v>19</v>
      </c>
      <c r="AJ63" s="50" t="s">
        <v>19</v>
      </c>
      <c r="AK63" s="50"/>
      <c r="AL63" s="50" t="s">
        <v>19</v>
      </c>
      <c r="AM63" s="50" t="s">
        <v>19</v>
      </c>
      <c r="AN63" s="50" t="s">
        <v>19</v>
      </c>
      <c r="AO63" s="50" t="s">
        <v>19</v>
      </c>
      <c r="AP63" s="50" t="s">
        <v>19</v>
      </c>
      <c r="AQ63" s="50" t="s">
        <v>19</v>
      </c>
      <c r="AR63" s="50" t="s">
        <v>19</v>
      </c>
      <c r="AS63" s="50" t="s">
        <v>19</v>
      </c>
      <c r="AT63" s="50" t="s">
        <v>19</v>
      </c>
      <c r="AU63" s="50" t="s">
        <v>19</v>
      </c>
      <c r="AV63" s="50"/>
      <c r="AW63" s="50" t="s">
        <v>19</v>
      </c>
      <c r="AX63" s="50" t="s">
        <v>19</v>
      </c>
      <c r="AY63" s="50">
        <f t="shared" si="7"/>
        <v>4</v>
      </c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  <c r="CY63" s="50"/>
      <c r="CZ63" s="50"/>
    </row>
    <row r="64" spans="1:104" s="47" customFormat="1" x14ac:dyDescent="0.2">
      <c r="B64" s="47">
        <v>29</v>
      </c>
      <c r="C64" s="50" t="s">
        <v>19</v>
      </c>
      <c r="D64" s="50" t="s">
        <v>19</v>
      </c>
      <c r="E64" s="50" t="s">
        <v>19</v>
      </c>
      <c r="F64" s="50" t="s">
        <v>19</v>
      </c>
      <c r="G64" s="50" t="s">
        <v>19</v>
      </c>
      <c r="H64" s="50" t="s">
        <v>19</v>
      </c>
      <c r="I64" s="50" t="s">
        <v>19</v>
      </c>
      <c r="J64" s="50" t="s">
        <v>19</v>
      </c>
      <c r="K64" s="50">
        <v>1</v>
      </c>
      <c r="L64" s="50" t="s">
        <v>19</v>
      </c>
      <c r="M64" s="50" t="s">
        <v>19</v>
      </c>
      <c r="N64" s="50" t="s">
        <v>19</v>
      </c>
      <c r="O64" s="50"/>
      <c r="P64" s="50" t="s">
        <v>19</v>
      </c>
      <c r="Q64" s="50" t="s">
        <v>19</v>
      </c>
      <c r="R64" s="50"/>
      <c r="S64" s="50" t="s">
        <v>19</v>
      </c>
      <c r="T64" s="50" t="s">
        <v>19</v>
      </c>
      <c r="U64" s="50"/>
      <c r="V64" s="50" t="s">
        <v>19</v>
      </c>
      <c r="W64" s="50" t="s">
        <v>19</v>
      </c>
      <c r="X64" s="50" t="s">
        <v>19</v>
      </c>
      <c r="Y64" s="50" t="s">
        <v>19</v>
      </c>
      <c r="Z64" s="50" t="s">
        <v>19</v>
      </c>
      <c r="AA64" s="50" t="s">
        <v>19</v>
      </c>
      <c r="AB64" s="50" t="s">
        <v>19</v>
      </c>
      <c r="AC64" s="50" t="s">
        <v>19</v>
      </c>
      <c r="AD64" s="50" t="s">
        <v>19</v>
      </c>
      <c r="AE64" s="50" t="s">
        <v>19</v>
      </c>
      <c r="AF64" s="50" t="s">
        <v>19</v>
      </c>
      <c r="AG64" s="50" t="s">
        <v>19</v>
      </c>
      <c r="AH64" s="50"/>
      <c r="AI64" s="50" t="s">
        <v>19</v>
      </c>
      <c r="AJ64" s="50" t="s">
        <v>19</v>
      </c>
      <c r="AK64" s="50" t="s">
        <v>19</v>
      </c>
      <c r="AL64" s="50" t="s">
        <v>19</v>
      </c>
      <c r="AM64" s="50" t="s">
        <v>19</v>
      </c>
      <c r="AN64" s="50" t="s">
        <v>19</v>
      </c>
      <c r="AO64" s="50" t="s">
        <v>19</v>
      </c>
      <c r="AP64" s="50" t="s">
        <v>19</v>
      </c>
      <c r="AQ64" s="50" t="s">
        <v>19</v>
      </c>
      <c r="AR64" s="50" t="s">
        <v>19</v>
      </c>
      <c r="AS64" s="50" t="s">
        <v>19</v>
      </c>
      <c r="AT64" s="50" t="s">
        <v>19</v>
      </c>
      <c r="AU64" s="50">
        <v>1</v>
      </c>
      <c r="AV64" s="50">
        <v>1</v>
      </c>
      <c r="AW64" s="50" t="s">
        <v>19</v>
      </c>
      <c r="AX64" s="50">
        <v>1</v>
      </c>
      <c r="AY64" s="50">
        <f t="shared" si="7"/>
        <v>4</v>
      </c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  <c r="CW64" s="50"/>
      <c r="CX64" s="50"/>
      <c r="CY64" s="50"/>
      <c r="CZ64" s="50"/>
    </row>
    <row r="65" spans="1:104" s="47" customFormat="1" x14ac:dyDescent="0.2">
      <c r="B65" s="47">
        <v>30</v>
      </c>
      <c r="C65" s="50" t="s">
        <v>19</v>
      </c>
      <c r="D65" s="50" t="s">
        <v>19</v>
      </c>
      <c r="E65" s="50" t="s">
        <v>19</v>
      </c>
      <c r="F65" s="50" t="s">
        <v>19</v>
      </c>
      <c r="G65" s="50" t="s">
        <v>19</v>
      </c>
      <c r="H65" s="50"/>
      <c r="I65" s="50" t="s">
        <v>19</v>
      </c>
      <c r="J65" s="50" t="s">
        <v>19</v>
      </c>
      <c r="K65" s="50"/>
      <c r="L65" s="50" t="s">
        <v>19</v>
      </c>
      <c r="M65" s="50" t="s">
        <v>19</v>
      </c>
      <c r="N65" s="50" t="s">
        <v>19</v>
      </c>
      <c r="O65" s="50" t="s">
        <v>19</v>
      </c>
      <c r="P65" s="50" t="s">
        <v>19</v>
      </c>
      <c r="Q65" s="50" t="s">
        <v>19</v>
      </c>
      <c r="R65" s="50" t="s">
        <v>19</v>
      </c>
      <c r="S65" s="50" t="s">
        <v>19</v>
      </c>
      <c r="T65" s="50" t="s">
        <v>19</v>
      </c>
      <c r="U65" s="50" t="s">
        <v>19</v>
      </c>
      <c r="V65" s="50" t="s">
        <v>19</v>
      </c>
      <c r="W65" s="50" t="s">
        <v>19</v>
      </c>
      <c r="X65" s="50" t="s">
        <v>19</v>
      </c>
      <c r="Y65" s="50" t="s">
        <v>19</v>
      </c>
      <c r="Z65" s="50" t="s">
        <v>19</v>
      </c>
      <c r="AA65" s="50" t="s">
        <v>19</v>
      </c>
      <c r="AB65" s="50">
        <v>1</v>
      </c>
      <c r="AC65" s="50" t="s">
        <v>19</v>
      </c>
      <c r="AD65" s="50" t="s">
        <v>19</v>
      </c>
      <c r="AE65" s="50" t="s">
        <v>19</v>
      </c>
      <c r="AF65" s="50">
        <v>1</v>
      </c>
      <c r="AG65" s="50"/>
      <c r="AH65" s="50" t="s">
        <v>19</v>
      </c>
      <c r="AI65" s="50" t="s">
        <v>19</v>
      </c>
      <c r="AJ65" s="50" t="s">
        <v>19</v>
      </c>
      <c r="AK65" s="50" t="s">
        <v>19</v>
      </c>
      <c r="AL65" s="50" t="s">
        <v>19</v>
      </c>
      <c r="AM65" s="50" t="s">
        <v>19</v>
      </c>
      <c r="AN65" s="50" t="s">
        <v>19</v>
      </c>
      <c r="AO65" s="50">
        <v>1</v>
      </c>
      <c r="AP65" s="50" t="s">
        <v>19</v>
      </c>
      <c r="AQ65" s="50" t="s">
        <v>19</v>
      </c>
      <c r="AR65" s="50" t="s">
        <v>19</v>
      </c>
      <c r="AS65" s="50" t="s">
        <v>19</v>
      </c>
      <c r="AT65" s="50" t="s">
        <v>19</v>
      </c>
      <c r="AU65" s="50">
        <v>1</v>
      </c>
      <c r="AV65" s="50" t="s">
        <v>19</v>
      </c>
      <c r="AW65" s="50" t="s">
        <v>19</v>
      </c>
      <c r="AX65" s="50" t="s">
        <v>19</v>
      </c>
      <c r="AY65" s="50">
        <f t="shared" si="7"/>
        <v>4</v>
      </c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  <c r="CW65" s="50"/>
      <c r="CX65" s="50"/>
      <c r="CY65" s="50"/>
      <c r="CZ65" s="50"/>
    </row>
    <row r="66" spans="1:104" x14ac:dyDescent="0.2">
      <c r="A66" s="47"/>
      <c r="B66" s="47">
        <v>31</v>
      </c>
      <c r="C66" s="50" t="s">
        <v>19</v>
      </c>
      <c r="D66" s="50" t="s">
        <v>19</v>
      </c>
      <c r="E66" s="50">
        <v>1</v>
      </c>
      <c r="F66" s="50" t="s">
        <v>19</v>
      </c>
      <c r="G66" s="50" t="s">
        <v>19</v>
      </c>
      <c r="H66" s="50" t="s">
        <v>19</v>
      </c>
      <c r="I66" s="50" t="s">
        <v>19</v>
      </c>
      <c r="J66" s="50" t="s">
        <v>19</v>
      </c>
      <c r="K66" s="50">
        <v>1</v>
      </c>
      <c r="L66" s="50" t="s">
        <v>19</v>
      </c>
      <c r="M66" s="50" t="s">
        <v>19</v>
      </c>
      <c r="N66" s="50"/>
      <c r="O66" s="50"/>
      <c r="P66" s="50" t="s">
        <v>19</v>
      </c>
      <c r="Q66" s="50"/>
      <c r="R66" s="50">
        <v>1</v>
      </c>
      <c r="S66" s="50" t="s">
        <v>19</v>
      </c>
      <c r="T66" s="50" t="s">
        <v>19</v>
      </c>
      <c r="U66" s="50" t="s">
        <v>19</v>
      </c>
      <c r="V66" s="50" t="s">
        <v>19</v>
      </c>
      <c r="W66" s="50" t="s">
        <v>19</v>
      </c>
      <c r="X66" s="50" t="s">
        <v>19</v>
      </c>
      <c r="Y66" s="50" t="s">
        <v>19</v>
      </c>
      <c r="Z66" s="50" t="s">
        <v>19</v>
      </c>
      <c r="AA66" s="50" t="s">
        <v>19</v>
      </c>
      <c r="AB66" s="50" t="s">
        <v>19</v>
      </c>
      <c r="AC66" s="50" t="s">
        <v>19</v>
      </c>
      <c r="AD66" s="50" t="s">
        <v>19</v>
      </c>
      <c r="AE66" s="50" t="s">
        <v>19</v>
      </c>
      <c r="AF66" s="50" t="s">
        <v>19</v>
      </c>
      <c r="AG66" s="50" t="s">
        <v>19</v>
      </c>
      <c r="AH66" s="50" t="s">
        <v>19</v>
      </c>
      <c r="AI66" s="50" t="s">
        <v>19</v>
      </c>
      <c r="AJ66" s="50" t="s">
        <v>19</v>
      </c>
      <c r="AK66" s="50">
        <v>1</v>
      </c>
      <c r="AL66" s="50" t="s">
        <v>19</v>
      </c>
      <c r="AM66" s="50" t="s">
        <v>19</v>
      </c>
      <c r="AN66" s="50" t="s">
        <v>19</v>
      </c>
      <c r="AO66" s="50" t="s">
        <v>19</v>
      </c>
      <c r="AP66" s="50" t="s">
        <v>19</v>
      </c>
      <c r="AQ66" s="50" t="s">
        <v>19</v>
      </c>
      <c r="AR66" s="50" t="s">
        <v>19</v>
      </c>
      <c r="AS66" s="50" t="s">
        <v>19</v>
      </c>
      <c r="AT66" s="50"/>
      <c r="AU66" s="50" t="s">
        <v>19</v>
      </c>
      <c r="AV66" s="50" t="s">
        <v>19</v>
      </c>
      <c r="AW66" s="50" t="s">
        <v>19</v>
      </c>
      <c r="AX66" s="50" t="s">
        <v>19</v>
      </c>
      <c r="AY66" s="50">
        <f t="shared" si="7"/>
        <v>4</v>
      </c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  <c r="CW66" s="50"/>
      <c r="CX66" s="50"/>
      <c r="CY66" s="50"/>
      <c r="CZ66" s="50"/>
    </row>
    <row r="67" spans="1:104" x14ac:dyDescent="0.2">
      <c r="A67" s="47"/>
      <c r="B67" s="47">
        <v>32</v>
      </c>
      <c r="C67" s="50" t="s">
        <v>19</v>
      </c>
      <c r="D67" s="50" t="s">
        <v>19</v>
      </c>
      <c r="E67" s="50" t="s">
        <v>19</v>
      </c>
      <c r="F67" s="50" t="s">
        <v>19</v>
      </c>
      <c r="G67" s="50" t="s">
        <v>19</v>
      </c>
      <c r="H67" s="50" t="s">
        <v>19</v>
      </c>
      <c r="I67" s="50" t="s">
        <v>19</v>
      </c>
      <c r="J67" s="50" t="s">
        <v>19</v>
      </c>
      <c r="K67" s="50" t="s">
        <v>19</v>
      </c>
      <c r="L67" s="50" t="s">
        <v>19</v>
      </c>
      <c r="M67" s="50" t="s">
        <v>19</v>
      </c>
      <c r="N67" s="50" t="s">
        <v>19</v>
      </c>
      <c r="O67" s="50" t="s">
        <v>19</v>
      </c>
      <c r="P67" s="50" t="s">
        <v>19</v>
      </c>
      <c r="Q67" s="50" t="s">
        <v>19</v>
      </c>
      <c r="R67" s="50" t="s">
        <v>19</v>
      </c>
      <c r="S67" s="50" t="s">
        <v>19</v>
      </c>
      <c r="T67" s="50" t="s">
        <v>19</v>
      </c>
      <c r="U67" s="50" t="s">
        <v>19</v>
      </c>
      <c r="V67" s="50">
        <v>1</v>
      </c>
      <c r="W67" s="50" t="s">
        <v>19</v>
      </c>
      <c r="X67" s="50">
        <v>1</v>
      </c>
      <c r="Y67" s="50" t="s">
        <v>19</v>
      </c>
      <c r="Z67" s="50" t="s">
        <v>19</v>
      </c>
      <c r="AA67" s="50">
        <v>1</v>
      </c>
      <c r="AB67" s="50" t="s">
        <v>19</v>
      </c>
      <c r="AC67" s="50" t="s">
        <v>19</v>
      </c>
      <c r="AD67" s="50" t="s">
        <v>19</v>
      </c>
      <c r="AE67" s="50" t="s">
        <v>19</v>
      </c>
      <c r="AF67" s="50" t="s">
        <v>19</v>
      </c>
      <c r="AG67" s="50" t="s">
        <v>19</v>
      </c>
      <c r="AH67" s="50"/>
      <c r="AI67" s="50" t="s">
        <v>19</v>
      </c>
      <c r="AJ67" s="50" t="s">
        <v>19</v>
      </c>
      <c r="AK67" s="50" t="s">
        <v>19</v>
      </c>
      <c r="AL67" s="50" t="s">
        <v>19</v>
      </c>
      <c r="AM67" s="50">
        <v>1</v>
      </c>
      <c r="AN67" s="50" t="s">
        <v>19</v>
      </c>
      <c r="AO67" s="50" t="s">
        <v>19</v>
      </c>
      <c r="AP67" s="50" t="s">
        <v>19</v>
      </c>
      <c r="AQ67" s="50"/>
      <c r="AR67" s="50" t="s">
        <v>19</v>
      </c>
      <c r="AS67" s="50" t="s">
        <v>19</v>
      </c>
      <c r="AT67" s="50" t="s">
        <v>19</v>
      </c>
      <c r="AU67" s="50" t="s">
        <v>19</v>
      </c>
      <c r="AV67" s="50" t="s">
        <v>19</v>
      </c>
      <c r="AW67" s="50" t="s">
        <v>19</v>
      </c>
      <c r="AX67" s="50" t="s">
        <v>19</v>
      </c>
      <c r="AY67" s="50">
        <f t="shared" si="7"/>
        <v>4</v>
      </c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  <c r="CW67" s="50"/>
      <c r="CX67" s="50"/>
      <c r="CY67" s="50"/>
      <c r="CZ67" s="50"/>
    </row>
    <row r="68" spans="1:104" x14ac:dyDescent="0.2">
      <c r="A68" s="47"/>
      <c r="B68" s="47">
        <v>33</v>
      </c>
      <c r="C68" s="50" t="s">
        <v>19</v>
      </c>
      <c r="D68" s="50">
        <v>1</v>
      </c>
      <c r="E68" s="50" t="s">
        <v>19</v>
      </c>
      <c r="F68" s="50">
        <v>1</v>
      </c>
      <c r="G68" s="50" t="s">
        <v>19</v>
      </c>
      <c r="H68" s="50">
        <v>1</v>
      </c>
      <c r="I68" s="50"/>
      <c r="J68" s="50" t="s">
        <v>19</v>
      </c>
      <c r="K68" s="50" t="s">
        <v>19</v>
      </c>
      <c r="L68" s="50" t="s">
        <v>19</v>
      </c>
      <c r="M68" s="50"/>
      <c r="N68" s="50" t="s">
        <v>19</v>
      </c>
      <c r="O68" s="50" t="s">
        <v>19</v>
      </c>
      <c r="P68" s="50" t="s">
        <v>19</v>
      </c>
      <c r="Q68" s="50" t="s">
        <v>19</v>
      </c>
      <c r="R68" s="50" t="s">
        <v>19</v>
      </c>
      <c r="S68" s="50" t="s">
        <v>19</v>
      </c>
      <c r="T68" s="50" t="s">
        <v>19</v>
      </c>
      <c r="U68" s="50"/>
      <c r="V68" s="50" t="s">
        <v>19</v>
      </c>
      <c r="W68" s="50" t="s">
        <v>19</v>
      </c>
      <c r="X68" s="50" t="s">
        <v>19</v>
      </c>
      <c r="Y68" s="50" t="s">
        <v>19</v>
      </c>
      <c r="Z68" s="50" t="s">
        <v>19</v>
      </c>
      <c r="AA68" s="50" t="s">
        <v>19</v>
      </c>
      <c r="AB68" s="50" t="s">
        <v>19</v>
      </c>
      <c r="AC68" s="50" t="s">
        <v>19</v>
      </c>
      <c r="AD68" s="50" t="s">
        <v>19</v>
      </c>
      <c r="AE68" s="50">
        <v>1</v>
      </c>
      <c r="AF68" s="50" t="s">
        <v>19</v>
      </c>
      <c r="AG68" s="50" t="s">
        <v>19</v>
      </c>
      <c r="AH68" s="50" t="s">
        <v>19</v>
      </c>
      <c r="AI68" s="50" t="s">
        <v>19</v>
      </c>
      <c r="AJ68" s="50" t="s">
        <v>19</v>
      </c>
      <c r="AK68" s="50" t="s">
        <v>19</v>
      </c>
      <c r="AL68" s="50" t="s">
        <v>19</v>
      </c>
      <c r="AM68" s="50" t="s">
        <v>19</v>
      </c>
      <c r="AN68" s="50" t="s">
        <v>19</v>
      </c>
      <c r="AO68" s="50" t="s">
        <v>19</v>
      </c>
      <c r="AP68" s="50">
        <v>1</v>
      </c>
      <c r="AQ68" s="50" t="s">
        <v>19</v>
      </c>
      <c r="AR68" s="50" t="s">
        <v>19</v>
      </c>
      <c r="AS68" s="50" t="s">
        <v>19</v>
      </c>
      <c r="AT68" s="50" t="s">
        <v>19</v>
      </c>
      <c r="AU68" s="50" t="s">
        <v>19</v>
      </c>
      <c r="AV68" s="50" t="s">
        <v>19</v>
      </c>
      <c r="AW68" s="50" t="s">
        <v>19</v>
      </c>
      <c r="AX68" s="50" t="s">
        <v>19</v>
      </c>
      <c r="AY68" s="50">
        <f t="shared" si="7"/>
        <v>5</v>
      </c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  <c r="CW68" s="50"/>
      <c r="CX68" s="50"/>
      <c r="CY68" s="50"/>
      <c r="CZ68" s="50"/>
    </row>
    <row r="69" spans="1:104" x14ac:dyDescent="0.2">
      <c r="A69" s="47"/>
      <c r="B69" s="47">
        <v>34</v>
      </c>
      <c r="C69" s="50">
        <v>1</v>
      </c>
      <c r="D69" s="50" t="s">
        <v>19</v>
      </c>
      <c r="E69" s="50" t="s">
        <v>19</v>
      </c>
      <c r="F69" s="50" t="s">
        <v>19</v>
      </c>
      <c r="G69" s="50" t="s">
        <v>19</v>
      </c>
      <c r="H69" s="50" t="s">
        <v>19</v>
      </c>
      <c r="I69" s="50" t="s">
        <v>19</v>
      </c>
      <c r="J69" s="50" t="s">
        <v>19</v>
      </c>
      <c r="K69" s="50" t="s">
        <v>19</v>
      </c>
      <c r="L69" s="50" t="s">
        <v>19</v>
      </c>
      <c r="M69" s="50" t="s">
        <v>19</v>
      </c>
      <c r="N69" s="50" t="s">
        <v>19</v>
      </c>
      <c r="O69" s="50" t="s">
        <v>19</v>
      </c>
      <c r="P69" s="50" t="s">
        <v>19</v>
      </c>
      <c r="Q69" s="50" t="s">
        <v>19</v>
      </c>
      <c r="R69" s="50" t="s">
        <v>19</v>
      </c>
      <c r="S69" s="50" t="s">
        <v>19</v>
      </c>
      <c r="T69" s="50" t="s">
        <v>19</v>
      </c>
      <c r="U69" s="50"/>
      <c r="V69" s="50" t="s">
        <v>19</v>
      </c>
      <c r="W69" s="50"/>
      <c r="X69" s="50">
        <v>1</v>
      </c>
      <c r="Y69" s="50" t="s">
        <v>19</v>
      </c>
      <c r="Z69" s="50"/>
      <c r="AA69" s="50" t="s">
        <v>19</v>
      </c>
      <c r="AB69" s="50" t="s">
        <v>19</v>
      </c>
      <c r="AC69" s="50" t="s">
        <v>19</v>
      </c>
      <c r="AD69" s="50" t="s">
        <v>19</v>
      </c>
      <c r="AE69" s="50" t="s">
        <v>19</v>
      </c>
      <c r="AF69" s="50" t="s">
        <v>19</v>
      </c>
      <c r="AG69" s="50" t="s">
        <v>19</v>
      </c>
      <c r="AH69" s="50" t="s">
        <v>19</v>
      </c>
      <c r="AI69" s="50" t="s">
        <v>19</v>
      </c>
      <c r="AJ69" s="50" t="s">
        <v>19</v>
      </c>
      <c r="AK69" s="50" t="s">
        <v>19</v>
      </c>
      <c r="AL69" s="50" t="s">
        <v>19</v>
      </c>
      <c r="AM69" s="50" t="s">
        <v>19</v>
      </c>
      <c r="AN69" s="50">
        <v>1</v>
      </c>
      <c r="AO69" s="50" t="s">
        <v>19</v>
      </c>
      <c r="AP69" s="50" t="s">
        <v>19</v>
      </c>
      <c r="AQ69" s="50">
        <v>1</v>
      </c>
      <c r="AR69" s="50" t="s">
        <v>19</v>
      </c>
      <c r="AS69" s="50" t="s">
        <v>19</v>
      </c>
      <c r="AT69" s="50" t="s">
        <v>19</v>
      </c>
      <c r="AU69" s="50" t="s">
        <v>19</v>
      </c>
      <c r="AV69" s="50" t="s">
        <v>19</v>
      </c>
      <c r="AW69" s="50" t="s">
        <v>19</v>
      </c>
      <c r="AX69" s="50"/>
      <c r="AY69" s="50">
        <f t="shared" si="7"/>
        <v>4</v>
      </c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</row>
    <row r="70" spans="1:104" x14ac:dyDescent="0.2">
      <c r="A70" s="47"/>
      <c r="B70" s="47">
        <v>35</v>
      </c>
      <c r="C70" s="50" t="s">
        <v>19</v>
      </c>
      <c r="D70" s="50" t="s">
        <v>19</v>
      </c>
      <c r="E70" s="50" t="s">
        <v>19</v>
      </c>
      <c r="F70" s="50" t="s">
        <v>19</v>
      </c>
      <c r="G70" s="50"/>
      <c r="H70" s="50"/>
      <c r="I70" s="50"/>
      <c r="J70" s="50" t="s">
        <v>19</v>
      </c>
      <c r="K70" s="50">
        <v>1</v>
      </c>
      <c r="L70" s="50" t="s">
        <v>19</v>
      </c>
      <c r="M70" s="50"/>
      <c r="N70" s="50" t="s">
        <v>19</v>
      </c>
      <c r="O70" s="50" t="s">
        <v>19</v>
      </c>
      <c r="P70" s="50" t="s">
        <v>19</v>
      </c>
      <c r="Q70" s="50" t="s">
        <v>19</v>
      </c>
      <c r="R70" s="50" t="s">
        <v>19</v>
      </c>
      <c r="S70" s="50"/>
      <c r="T70" s="50"/>
      <c r="U70" s="50" t="s">
        <v>19</v>
      </c>
      <c r="V70" s="50" t="s">
        <v>19</v>
      </c>
      <c r="W70" s="50">
        <v>1</v>
      </c>
      <c r="X70" s="50" t="s">
        <v>19</v>
      </c>
      <c r="Y70" s="50" t="s">
        <v>19</v>
      </c>
      <c r="Z70" s="50" t="s">
        <v>19</v>
      </c>
      <c r="AA70" s="50" t="s">
        <v>19</v>
      </c>
      <c r="AB70" s="50" t="s">
        <v>19</v>
      </c>
      <c r="AC70" s="50" t="s">
        <v>19</v>
      </c>
      <c r="AD70" s="50">
        <v>1</v>
      </c>
      <c r="AE70" s="50" t="s">
        <v>19</v>
      </c>
      <c r="AF70" s="50" t="s">
        <v>19</v>
      </c>
      <c r="AG70" s="50" t="s">
        <v>19</v>
      </c>
      <c r="AH70" s="50" t="s">
        <v>19</v>
      </c>
      <c r="AI70" s="50" t="s">
        <v>19</v>
      </c>
      <c r="AJ70" s="50" t="s">
        <v>19</v>
      </c>
      <c r="AK70" s="50" t="s">
        <v>19</v>
      </c>
      <c r="AL70" s="50" t="s">
        <v>19</v>
      </c>
      <c r="AM70" s="50" t="s">
        <v>19</v>
      </c>
      <c r="AN70" s="50" t="s">
        <v>19</v>
      </c>
      <c r="AO70" s="50"/>
      <c r="AP70" s="50" t="s">
        <v>19</v>
      </c>
      <c r="AQ70" s="50" t="s">
        <v>19</v>
      </c>
      <c r="AR70" s="50" t="s">
        <v>19</v>
      </c>
      <c r="AS70" s="50" t="s">
        <v>19</v>
      </c>
      <c r="AT70" s="50" t="s">
        <v>19</v>
      </c>
      <c r="AU70" s="50" t="s">
        <v>19</v>
      </c>
      <c r="AV70" s="50" t="s">
        <v>19</v>
      </c>
      <c r="AW70" s="50" t="s">
        <v>19</v>
      </c>
      <c r="AX70" s="50" t="s">
        <v>19</v>
      </c>
      <c r="AY70" s="50">
        <f t="shared" si="7"/>
        <v>3</v>
      </c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  <c r="CW70" s="50"/>
      <c r="CX70" s="50"/>
      <c r="CY70" s="50"/>
      <c r="CZ70" s="50"/>
    </row>
    <row r="71" spans="1:104" x14ac:dyDescent="0.2">
      <c r="A71" s="47"/>
      <c r="B71" s="47">
        <v>36</v>
      </c>
      <c r="C71" s="50" t="s">
        <v>19</v>
      </c>
      <c r="D71" s="50">
        <v>1</v>
      </c>
      <c r="E71" s="50" t="s">
        <v>19</v>
      </c>
      <c r="F71" s="50" t="s">
        <v>19</v>
      </c>
      <c r="G71" s="50" t="s">
        <v>19</v>
      </c>
      <c r="H71" s="50" t="s">
        <v>19</v>
      </c>
      <c r="I71" s="50" t="s">
        <v>19</v>
      </c>
      <c r="J71" s="50" t="s">
        <v>19</v>
      </c>
      <c r="K71" s="50" t="s">
        <v>19</v>
      </c>
      <c r="L71" s="50" t="s">
        <v>19</v>
      </c>
      <c r="M71" s="50" t="s">
        <v>19</v>
      </c>
      <c r="N71" s="50" t="s">
        <v>19</v>
      </c>
      <c r="O71" s="50">
        <v>1</v>
      </c>
      <c r="P71" s="50" t="s">
        <v>19</v>
      </c>
      <c r="Q71" s="50" t="s">
        <v>19</v>
      </c>
      <c r="R71" s="50" t="s">
        <v>19</v>
      </c>
      <c r="S71" s="50" t="s">
        <v>19</v>
      </c>
      <c r="T71" s="50"/>
      <c r="U71" s="50" t="s">
        <v>19</v>
      </c>
      <c r="V71" s="50"/>
      <c r="W71" s="50" t="s">
        <v>19</v>
      </c>
      <c r="X71" s="50" t="s">
        <v>19</v>
      </c>
      <c r="Y71" s="50" t="s">
        <v>19</v>
      </c>
      <c r="Z71" s="50" t="s">
        <v>19</v>
      </c>
      <c r="AA71" s="50" t="s">
        <v>19</v>
      </c>
      <c r="AB71" s="50" t="s">
        <v>19</v>
      </c>
      <c r="AC71" s="50" t="s">
        <v>19</v>
      </c>
      <c r="AD71" s="50" t="s">
        <v>19</v>
      </c>
      <c r="AE71" s="50" t="s">
        <v>19</v>
      </c>
      <c r="AF71" s="50"/>
      <c r="AG71" s="50" t="s">
        <v>19</v>
      </c>
      <c r="AH71" s="50" t="s">
        <v>19</v>
      </c>
      <c r="AI71" s="50" t="s">
        <v>19</v>
      </c>
      <c r="AJ71" s="50" t="s">
        <v>19</v>
      </c>
      <c r="AK71" s="50" t="s">
        <v>19</v>
      </c>
      <c r="AL71" s="50" t="s">
        <v>19</v>
      </c>
      <c r="AM71" s="50" t="s">
        <v>19</v>
      </c>
      <c r="AN71" s="50" t="s">
        <v>19</v>
      </c>
      <c r="AO71" s="50" t="s">
        <v>19</v>
      </c>
      <c r="AP71" s="50" t="s">
        <v>19</v>
      </c>
      <c r="AQ71" s="50" t="s">
        <v>19</v>
      </c>
      <c r="AR71" s="50" t="s">
        <v>19</v>
      </c>
      <c r="AS71" s="50" t="s">
        <v>19</v>
      </c>
      <c r="AT71" s="50" t="s">
        <v>19</v>
      </c>
      <c r="AU71" s="50" t="s">
        <v>19</v>
      </c>
      <c r="AV71" s="50"/>
      <c r="AW71" s="50">
        <v>1</v>
      </c>
      <c r="AX71" s="50" t="s">
        <v>19</v>
      </c>
      <c r="AY71" s="50">
        <f t="shared" si="7"/>
        <v>3</v>
      </c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  <c r="CW71" s="50"/>
      <c r="CX71" s="50"/>
      <c r="CY71" s="50"/>
      <c r="CZ71" s="50"/>
    </row>
    <row r="72" spans="1:104" x14ac:dyDescent="0.2">
      <c r="A72" s="47"/>
      <c r="B72" s="47">
        <v>37</v>
      </c>
      <c r="C72" s="50" t="s">
        <v>19</v>
      </c>
      <c r="D72" s="50" t="s">
        <v>19</v>
      </c>
      <c r="E72" s="50" t="s">
        <v>19</v>
      </c>
      <c r="F72" s="50">
        <v>1</v>
      </c>
      <c r="G72" s="50" t="s">
        <v>19</v>
      </c>
      <c r="H72" s="50">
        <v>1</v>
      </c>
      <c r="I72" s="50">
        <v>1</v>
      </c>
      <c r="J72" s="50" t="s">
        <v>19</v>
      </c>
      <c r="K72" s="50"/>
      <c r="L72" s="50" t="s">
        <v>19</v>
      </c>
      <c r="M72" s="50" t="s">
        <v>19</v>
      </c>
      <c r="N72" s="50" t="s">
        <v>19</v>
      </c>
      <c r="O72" s="50" t="s">
        <v>19</v>
      </c>
      <c r="P72" s="50" t="s">
        <v>19</v>
      </c>
      <c r="Q72" s="50" t="s">
        <v>19</v>
      </c>
      <c r="R72" s="50" t="s">
        <v>19</v>
      </c>
      <c r="S72" s="50">
        <v>1</v>
      </c>
      <c r="T72" s="50" t="s">
        <v>19</v>
      </c>
      <c r="U72" s="50" t="s">
        <v>19</v>
      </c>
      <c r="V72" s="50" t="s">
        <v>19</v>
      </c>
      <c r="W72" s="50" t="s">
        <v>19</v>
      </c>
      <c r="X72" s="50" t="s">
        <v>19</v>
      </c>
      <c r="Y72" s="50" t="s">
        <v>19</v>
      </c>
      <c r="Z72" s="50" t="s">
        <v>19</v>
      </c>
      <c r="AA72" s="50">
        <v>1</v>
      </c>
      <c r="AB72" s="50" t="s">
        <v>19</v>
      </c>
      <c r="AC72" s="50" t="s">
        <v>19</v>
      </c>
      <c r="AD72" s="50" t="s">
        <v>19</v>
      </c>
      <c r="AE72" s="50"/>
      <c r="AF72" s="50" t="s">
        <v>19</v>
      </c>
      <c r="AG72" s="50" t="s">
        <v>19</v>
      </c>
      <c r="AH72" s="50" t="s">
        <v>19</v>
      </c>
      <c r="AI72" s="50" t="s">
        <v>19</v>
      </c>
      <c r="AJ72" s="50" t="s">
        <v>19</v>
      </c>
      <c r="AK72" s="50" t="s">
        <v>19</v>
      </c>
      <c r="AL72" s="50" t="s">
        <v>19</v>
      </c>
      <c r="AM72" s="50"/>
      <c r="AN72" s="50" t="s">
        <v>19</v>
      </c>
      <c r="AO72" s="50" t="s">
        <v>19</v>
      </c>
      <c r="AP72" s="50" t="s">
        <v>19</v>
      </c>
      <c r="AQ72" s="50" t="s">
        <v>19</v>
      </c>
      <c r="AR72" s="50" t="s">
        <v>19</v>
      </c>
      <c r="AS72" s="50" t="s">
        <v>19</v>
      </c>
      <c r="AT72" s="50" t="s">
        <v>19</v>
      </c>
      <c r="AU72" s="50" t="s">
        <v>19</v>
      </c>
      <c r="AV72" s="50" t="s">
        <v>19</v>
      </c>
      <c r="AW72" s="50" t="s">
        <v>19</v>
      </c>
      <c r="AX72" s="50" t="s">
        <v>19</v>
      </c>
      <c r="AY72" s="50">
        <f t="shared" si="7"/>
        <v>5</v>
      </c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  <c r="CW72" s="50"/>
      <c r="CX72" s="50"/>
      <c r="CY72" s="50"/>
      <c r="CZ72" s="50"/>
    </row>
    <row r="73" spans="1:104" x14ac:dyDescent="0.2">
      <c r="A73" s="47"/>
      <c r="B73" s="47">
        <v>38</v>
      </c>
      <c r="C73" s="50" t="s">
        <v>19</v>
      </c>
      <c r="D73" s="50" t="s">
        <v>19</v>
      </c>
      <c r="E73" s="50" t="s">
        <v>19</v>
      </c>
      <c r="F73" s="50" t="s">
        <v>19</v>
      </c>
      <c r="G73" s="50" t="s">
        <v>19</v>
      </c>
      <c r="H73" s="50" t="s">
        <v>19</v>
      </c>
      <c r="I73" s="50" t="s">
        <v>19</v>
      </c>
      <c r="J73" s="50" t="s">
        <v>19</v>
      </c>
      <c r="K73" s="50" t="s">
        <v>19</v>
      </c>
      <c r="L73" s="50">
        <v>1</v>
      </c>
      <c r="M73" s="50" t="s">
        <v>19</v>
      </c>
      <c r="N73" s="50" t="s">
        <v>19</v>
      </c>
      <c r="O73" s="50" t="s">
        <v>19</v>
      </c>
      <c r="P73" s="50" t="s">
        <v>19</v>
      </c>
      <c r="Q73" s="50"/>
      <c r="R73" s="50" t="s">
        <v>19</v>
      </c>
      <c r="S73" s="50" t="s">
        <v>19</v>
      </c>
      <c r="T73" s="50" t="s">
        <v>19</v>
      </c>
      <c r="U73" s="50" t="s">
        <v>19</v>
      </c>
      <c r="V73" s="50" t="s">
        <v>19</v>
      </c>
      <c r="W73" s="50">
        <v>1</v>
      </c>
      <c r="X73" s="50" t="s">
        <v>19</v>
      </c>
      <c r="Y73" s="50">
        <v>1</v>
      </c>
      <c r="Z73" s="50" t="s">
        <v>19</v>
      </c>
      <c r="AA73" s="50" t="s">
        <v>19</v>
      </c>
      <c r="AB73" s="50" t="s">
        <v>19</v>
      </c>
      <c r="AC73" s="50" t="s">
        <v>19</v>
      </c>
      <c r="AD73" s="50"/>
      <c r="AE73" s="50" t="s">
        <v>19</v>
      </c>
      <c r="AF73" s="50" t="s">
        <v>19</v>
      </c>
      <c r="AG73" s="50" t="s">
        <v>19</v>
      </c>
      <c r="AH73" s="50" t="s">
        <v>19</v>
      </c>
      <c r="AI73" s="50" t="s">
        <v>19</v>
      </c>
      <c r="AJ73" s="50" t="s">
        <v>19</v>
      </c>
      <c r="AK73" s="50" t="s">
        <v>19</v>
      </c>
      <c r="AL73" s="50" t="s">
        <v>19</v>
      </c>
      <c r="AM73" s="50" t="s">
        <v>19</v>
      </c>
      <c r="AN73" s="50" t="s">
        <v>19</v>
      </c>
      <c r="AO73" s="50" t="s">
        <v>19</v>
      </c>
      <c r="AP73" s="50" t="s">
        <v>19</v>
      </c>
      <c r="AQ73" s="50" t="s">
        <v>19</v>
      </c>
      <c r="AR73" s="50">
        <v>1</v>
      </c>
      <c r="AS73" s="50" t="s">
        <v>19</v>
      </c>
      <c r="AT73" s="50" t="s">
        <v>19</v>
      </c>
      <c r="AU73" s="50">
        <v>1</v>
      </c>
      <c r="AV73" s="50" t="s">
        <v>19</v>
      </c>
      <c r="AW73" s="50" t="s">
        <v>19</v>
      </c>
      <c r="AX73" s="50" t="s">
        <v>19</v>
      </c>
      <c r="AY73" s="50">
        <f t="shared" si="7"/>
        <v>5</v>
      </c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  <c r="CW73" s="50"/>
      <c r="CX73" s="50"/>
      <c r="CY73" s="50"/>
      <c r="CZ73" s="50"/>
    </row>
    <row r="74" spans="1:104" x14ac:dyDescent="0.2">
      <c r="A74" s="47"/>
      <c r="B74" s="47">
        <v>39</v>
      </c>
      <c r="C74" s="50" t="s">
        <v>19</v>
      </c>
      <c r="D74" s="50"/>
      <c r="E74" s="50"/>
      <c r="F74" s="50"/>
      <c r="G74" s="50" t="s">
        <v>19</v>
      </c>
      <c r="H74" s="50"/>
      <c r="I74" s="50" t="s">
        <v>19</v>
      </c>
      <c r="J74" s="50" t="s">
        <v>19</v>
      </c>
      <c r="K74" s="50" t="s">
        <v>19</v>
      </c>
      <c r="L74" s="50" t="s">
        <v>19</v>
      </c>
      <c r="M74" s="50" t="s">
        <v>19</v>
      </c>
      <c r="N74" s="50" t="s">
        <v>19</v>
      </c>
      <c r="O74" s="50" t="s">
        <v>19</v>
      </c>
      <c r="P74" s="50" t="s">
        <v>19</v>
      </c>
      <c r="Q74" s="50" t="s">
        <v>19</v>
      </c>
      <c r="R74" s="50" t="s">
        <v>19</v>
      </c>
      <c r="S74" s="50"/>
      <c r="T74" s="50" t="s">
        <v>19</v>
      </c>
      <c r="U74" s="50" t="s">
        <v>19</v>
      </c>
      <c r="V74" s="50" t="s">
        <v>19</v>
      </c>
      <c r="W74" s="50" t="s">
        <v>19</v>
      </c>
      <c r="X74" s="50" t="s">
        <v>19</v>
      </c>
      <c r="Y74" s="50" t="s">
        <v>19</v>
      </c>
      <c r="Z74" s="50" t="s">
        <v>19</v>
      </c>
      <c r="AA74" s="50" t="s">
        <v>19</v>
      </c>
      <c r="AB74" s="50" t="s">
        <v>19</v>
      </c>
      <c r="AC74" s="50" t="s">
        <v>19</v>
      </c>
      <c r="AD74" s="50" t="s">
        <v>19</v>
      </c>
      <c r="AE74" s="50" t="s">
        <v>19</v>
      </c>
      <c r="AF74" s="50">
        <v>1</v>
      </c>
      <c r="AG74" s="50" t="s">
        <v>19</v>
      </c>
      <c r="AH74" s="50" t="s">
        <v>19</v>
      </c>
      <c r="AI74" s="50" t="s">
        <v>19</v>
      </c>
      <c r="AJ74" s="50" t="s">
        <v>19</v>
      </c>
      <c r="AK74" s="50" t="s">
        <v>19</v>
      </c>
      <c r="AL74" s="50">
        <v>1</v>
      </c>
      <c r="AM74" s="50" t="s">
        <v>19</v>
      </c>
      <c r="AN74" s="50" t="s">
        <v>19</v>
      </c>
      <c r="AO74" s="50" t="s">
        <v>19</v>
      </c>
      <c r="AP74" s="50">
        <v>1</v>
      </c>
      <c r="AQ74" s="50" t="s">
        <v>19</v>
      </c>
      <c r="AR74" s="50" t="s">
        <v>19</v>
      </c>
      <c r="AS74" s="50" t="s">
        <v>19</v>
      </c>
      <c r="AT74" s="50" t="s">
        <v>19</v>
      </c>
      <c r="AU74" s="50" t="s">
        <v>19</v>
      </c>
      <c r="AV74" s="50" t="s">
        <v>19</v>
      </c>
      <c r="AW74" s="50" t="s">
        <v>19</v>
      </c>
      <c r="AX74" s="50" t="s">
        <v>19</v>
      </c>
      <c r="AY74" s="50">
        <f t="shared" si="7"/>
        <v>3</v>
      </c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</row>
    <row r="75" spans="1:104" x14ac:dyDescent="0.2">
      <c r="A75" s="47"/>
      <c r="B75" s="47">
        <v>40</v>
      </c>
      <c r="C75" s="50" t="s">
        <v>19</v>
      </c>
      <c r="D75" s="50" t="s">
        <v>19</v>
      </c>
      <c r="E75" s="50" t="s">
        <v>19</v>
      </c>
      <c r="F75" s="50" t="s">
        <v>19</v>
      </c>
      <c r="G75" s="50">
        <v>1</v>
      </c>
      <c r="H75" s="50" t="s">
        <v>19</v>
      </c>
      <c r="I75" s="50" t="s">
        <v>19</v>
      </c>
      <c r="J75" s="50" t="s">
        <v>19</v>
      </c>
      <c r="K75" s="50" t="s">
        <v>19</v>
      </c>
      <c r="L75" s="50" t="s">
        <v>19</v>
      </c>
      <c r="M75" s="50" t="s">
        <v>19</v>
      </c>
      <c r="N75" s="50" t="s">
        <v>19</v>
      </c>
      <c r="O75" s="50" t="s">
        <v>19</v>
      </c>
      <c r="P75" s="50" t="s">
        <v>19</v>
      </c>
      <c r="Q75" s="50" t="s">
        <v>19</v>
      </c>
      <c r="R75" s="50" t="s">
        <v>19</v>
      </c>
      <c r="S75" s="50" t="s">
        <v>19</v>
      </c>
      <c r="T75" s="50" t="s">
        <v>19</v>
      </c>
      <c r="U75" s="50" t="s">
        <v>19</v>
      </c>
      <c r="V75" s="50" t="s">
        <v>19</v>
      </c>
      <c r="W75" s="50" t="s">
        <v>19</v>
      </c>
      <c r="X75" s="50">
        <v>1</v>
      </c>
      <c r="Y75" s="50" t="s">
        <v>19</v>
      </c>
      <c r="Z75" s="50" t="s">
        <v>19</v>
      </c>
      <c r="AA75" s="50" t="s">
        <v>19</v>
      </c>
      <c r="AB75" s="50" t="s">
        <v>19</v>
      </c>
      <c r="AC75" s="50" t="s">
        <v>19</v>
      </c>
      <c r="AD75" s="50" t="s">
        <v>19</v>
      </c>
      <c r="AE75" s="50" t="s">
        <v>19</v>
      </c>
      <c r="AF75" s="50" t="s">
        <v>19</v>
      </c>
      <c r="AG75" s="50" t="s">
        <v>19</v>
      </c>
      <c r="AH75" s="50" t="s">
        <v>19</v>
      </c>
      <c r="AI75" s="50" t="s">
        <v>19</v>
      </c>
      <c r="AJ75" s="50" t="s">
        <v>19</v>
      </c>
      <c r="AK75" s="50" t="s">
        <v>19</v>
      </c>
      <c r="AL75" s="50" t="s">
        <v>19</v>
      </c>
      <c r="AM75" s="50" t="s">
        <v>19</v>
      </c>
      <c r="AN75" s="50" t="s">
        <v>19</v>
      </c>
      <c r="AO75" s="50"/>
      <c r="AP75" s="50">
        <v>1</v>
      </c>
      <c r="AQ75" s="50" t="s">
        <v>19</v>
      </c>
      <c r="AR75" s="50" t="s">
        <v>19</v>
      </c>
      <c r="AS75" s="50" t="s">
        <v>19</v>
      </c>
      <c r="AT75" s="50" t="s">
        <v>19</v>
      </c>
      <c r="AU75" s="50"/>
      <c r="AV75" s="50">
        <v>1</v>
      </c>
      <c r="AW75" s="50" t="s">
        <v>19</v>
      </c>
      <c r="AX75" s="50">
        <v>1</v>
      </c>
      <c r="AY75" s="50">
        <f t="shared" si="7"/>
        <v>5</v>
      </c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  <c r="CW75" s="50"/>
      <c r="CX75" s="50"/>
      <c r="CY75" s="50"/>
      <c r="CZ75" s="50"/>
    </row>
    <row r="76" spans="1:104" x14ac:dyDescent="0.2">
      <c r="A76" s="47"/>
      <c r="B76" s="47">
        <v>41</v>
      </c>
      <c r="C76" s="50" t="s">
        <v>19</v>
      </c>
      <c r="D76" s="50" t="s">
        <v>19</v>
      </c>
      <c r="E76" s="50" t="s">
        <v>19</v>
      </c>
      <c r="F76" s="50" t="s">
        <v>19</v>
      </c>
      <c r="G76" s="50" t="s">
        <v>19</v>
      </c>
      <c r="H76" s="50" t="s">
        <v>19</v>
      </c>
      <c r="I76" s="50"/>
      <c r="J76" s="50" t="s">
        <v>19</v>
      </c>
      <c r="K76" s="50" t="s">
        <v>19</v>
      </c>
      <c r="L76" s="50" t="s">
        <v>19</v>
      </c>
      <c r="M76" s="50" t="s">
        <v>19</v>
      </c>
      <c r="N76" s="50" t="s">
        <v>19</v>
      </c>
      <c r="O76" s="50">
        <v>1</v>
      </c>
      <c r="P76" s="50" t="s">
        <v>19</v>
      </c>
      <c r="Q76" s="50" t="s">
        <v>19</v>
      </c>
      <c r="R76" s="50" t="s">
        <v>19</v>
      </c>
      <c r="S76" s="50">
        <v>1</v>
      </c>
      <c r="T76" s="50" t="s">
        <v>19</v>
      </c>
      <c r="U76" s="50"/>
      <c r="V76" s="50" t="s">
        <v>19</v>
      </c>
      <c r="W76" s="50" t="s">
        <v>19</v>
      </c>
      <c r="X76" s="50">
        <v>1</v>
      </c>
      <c r="Y76" s="50" t="s">
        <v>19</v>
      </c>
      <c r="Z76" s="50" t="s">
        <v>19</v>
      </c>
      <c r="AA76" s="50" t="s">
        <v>19</v>
      </c>
      <c r="AB76" s="50" t="s">
        <v>19</v>
      </c>
      <c r="AC76" s="50" t="s">
        <v>19</v>
      </c>
      <c r="AD76" s="50" t="s">
        <v>19</v>
      </c>
      <c r="AE76" s="50" t="s">
        <v>19</v>
      </c>
      <c r="AF76" s="50" t="s">
        <v>19</v>
      </c>
      <c r="AG76" s="50" t="s">
        <v>19</v>
      </c>
      <c r="AH76" s="50" t="s">
        <v>19</v>
      </c>
      <c r="AI76" s="50" t="s">
        <v>19</v>
      </c>
      <c r="AJ76" s="50" t="s">
        <v>19</v>
      </c>
      <c r="AK76" s="50" t="s">
        <v>19</v>
      </c>
      <c r="AL76" s="50" t="s">
        <v>19</v>
      </c>
      <c r="AM76" s="50" t="s">
        <v>19</v>
      </c>
      <c r="AN76" s="50" t="s">
        <v>19</v>
      </c>
      <c r="AO76" s="50" t="s">
        <v>19</v>
      </c>
      <c r="AP76" s="50" t="s">
        <v>19</v>
      </c>
      <c r="AQ76" s="50" t="s">
        <v>19</v>
      </c>
      <c r="AR76" s="50" t="s">
        <v>19</v>
      </c>
      <c r="AS76" s="50" t="s">
        <v>19</v>
      </c>
      <c r="AT76" s="50" t="s">
        <v>19</v>
      </c>
      <c r="AU76" s="50"/>
      <c r="AV76" s="50" t="s">
        <v>19</v>
      </c>
      <c r="AW76" s="50">
        <v>1</v>
      </c>
      <c r="AX76" s="50" t="s">
        <v>19</v>
      </c>
      <c r="AY76" s="50">
        <f t="shared" si="7"/>
        <v>4</v>
      </c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  <c r="CW76" s="50"/>
      <c r="CX76" s="50"/>
      <c r="CY76" s="50"/>
      <c r="CZ76" s="50"/>
    </row>
    <row r="77" spans="1:104" x14ac:dyDescent="0.2">
      <c r="A77" s="47"/>
      <c r="B77" s="47">
        <v>42</v>
      </c>
      <c r="C77" s="50" t="s">
        <v>19</v>
      </c>
      <c r="D77" s="50">
        <v>1</v>
      </c>
      <c r="E77" s="50" t="s">
        <v>19</v>
      </c>
      <c r="F77" s="50" t="s">
        <v>19</v>
      </c>
      <c r="G77" s="50"/>
      <c r="H77" s="50" t="s">
        <v>19</v>
      </c>
      <c r="I77" s="50" t="s">
        <v>19</v>
      </c>
      <c r="J77" s="50" t="s">
        <v>19</v>
      </c>
      <c r="K77" s="50" t="s">
        <v>19</v>
      </c>
      <c r="L77" s="50" t="s">
        <v>19</v>
      </c>
      <c r="M77" s="50" t="s">
        <v>19</v>
      </c>
      <c r="N77" s="50" t="s">
        <v>19</v>
      </c>
      <c r="O77" s="50" t="s">
        <v>19</v>
      </c>
      <c r="P77" s="50" t="s">
        <v>19</v>
      </c>
      <c r="Q77" s="50" t="s">
        <v>19</v>
      </c>
      <c r="R77" s="50" t="s">
        <v>19</v>
      </c>
      <c r="S77" s="50" t="s">
        <v>19</v>
      </c>
      <c r="T77" s="50" t="s">
        <v>19</v>
      </c>
      <c r="U77" s="50" t="s">
        <v>19</v>
      </c>
      <c r="V77" s="50" t="s">
        <v>19</v>
      </c>
      <c r="W77" s="50" t="s">
        <v>19</v>
      </c>
      <c r="X77" s="50" t="s">
        <v>19</v>
      </c>
      <c r="Y77" s="50" t="s">
        <v>19</v>
      </c>
      <c r="Z77" s="50" t="s">
        <v>19</v>
      </c>
      <c r="AA77" s="50" t="s">
        <v>19</v>
      </c>
      <c r="AB77" s="50" t="s">
        <v>19</v>
      </c>
      <c r="AC77" s="50" t="s">
        <v>19</v>
      </c>
      <c r="AD77" s="50"/>
      <c r="AE77" s="50" t="s">
        <v>19</v>
      </c>
      <c r="AF77" s="50" t="s">
        <v>19</v>
      </c>
      <c r="AG77" s="50" t="s">
        <v>19</v>
      </c>
      <c r="AH77" s="50">
        <v>1</v>
      </c>
      <c r="AI77" s="50" t="s">
        <v>19</v>
      </c>
      <c r="AJ77" s="50" t="s">
        <v>19</v>
      </c>
      <c r="AK77" s="50" t="s">
        <v>19</v>
      </c>
      <c r="AL77" s="50" t="s">
        <v>19</v>
      </c>
      <c r="AM77" s="50" t="s">
        <v>19</v>
      </c>
      <c r="AN77" s="50" t="s">
        <v>19</v>
      </c>
      <c r="AO77" s="50" t="s">
        <v>19</v>
      </c>
      <c r="AP77" s="50" t="s">
        <v>19</v>
      </c>
      <c r="AQ77" s="50">
        <v>1</v>
      </c>
      <c r="AR77" s="50" t="s">
        <v>19</v>
      </c>
      <c r="AS77" s="50"/>
      <c r="AT77" s="50"/>
      <c r="AU77" s="50" t="s">
        <v>19</v>
      </c>
      <c r="AV77" s="50" t="s">
        <v>19</v>
      </c>
      <c r="AW77" s="50" t="s">
        <v>19</v>
      </c>
      <c r="AX77" s="50" t="s">
        <v>19</v>
      </c>
      <c r="AY77" s="50">
        <f t="shared" si="7"/>
        <v>3</v>
      </c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  <c r="CW77" s="50"/>
      <c r="CX77" s="50"/>
      <c r="CY77" s="50"/>
      <c r="CZ77" s="50"/>
    </row>
    <row r="78" spans="1:104" x14ac:dyDescent="0.2">
      <c r="A78" s="47"/>
      <c r="B78" s="47">
        <v>43</v>
      </c>
      <c r="C78" s="50" t="s">
        <v>19</v>
      </c>
      <c r="D78" s="50" t="s">
        <v>19</v>
      </c>
      <c r="E78" s="50" t="s">
        <v>19</v>
      </c>
      <c r="F78" s="50" t="s">
        <v>19</v>
      </c>
      <c r="G78" s="50" t="s">
        <v>19</v>
      </c>
      <c r="H78" s="50">
        <v>1</v>
      </c>
      <c r="I78" s="50" t="s">
        <v>19</v>
      </c>
      <c r="J78" s="50"/>
      <c r="K78" s="50" t="s">
        <v>19</v>
      </c>
      <c r="L78" s="50" t="s">
        <v>19</v>
      </c>
      <c r="M78" s="50" t="s">
        <v>19</v>
      </c>
      <c r="N78" s="50" t="s">
        <v>19</v>
      </c>
      <c r="O78" s="50" t="s">
        <v>19</v>
      </c>
      <c r="P78" s="50" t="s">
        <v>19</v>
      </c>
      <c r="Q78" s="50"/>
      <c r="R78" s="50" t="s">
        <v>19</v>
      </c>
      <c r="S78" s="50" t="s">
        <v>19</v>
      </c>
      <c r="T78" s="50">
        <v>1</v>
      </c>
      <c r="U78" s="50" t="s">
        <v>19</v>
      </c>
      <c r="V78" s="50" t="s">
        <v>19</v>
      </c>
      <c r="W78" s="50" t="s">
        <v>19</v>
      </c>
      <c r="X78" s="50" t="s">
        <v>19</v>
      </c>
      <c r="Y78" s="50" t="s">
        <v>19</v>
      </c>
      <c r="Z78" s="50" t="s">
        <v>19</v>
      </c>
      <c r="AA78" s="50" t="s">
        <v>19</v>
      </c>
      <c r="AB78" s="50"/>
      <c r="AC78" s="50" t="s">
        <v>19</v>
      </c>
      <c r="AD78" s="50" t="s">
        <v>19</v>
      </c>
      <c r="AE78" s="50"/>
      <c r="AF78" s="50" t="s">
        <v>19</v>
      </c>
      <c r="AG78" s="50">
        <v>1</v>
      </c>
      <c r="AH78" s="50" t="s">
        <v>19</v>
      </c>
      <c r="AI78" s="50" t="s">
        <v>19</v>
      </c>
      <c r="AJ78" s="50" t="s">
        <v>19</v>
      </c>
      <c r="AK78" s="50" t="s">
        <v>19</v>
      </c>
      <c r="AL78" s="50">
        <v>1</v>
      </c>
      <c r="AM78" s="50" t="s">
        <v>19</v>
      </c>
      <c r="AN78" s="50" t="s">
        <v>19</v>
      </c>
      <c r="AO78" s="50" t="s">
        <v>19</v>
      </c>
      <c r="AP78" s="50" t="s">
        <v>19</v>
      </c>
      <c r="AQ78" s="50" t="s">
        <v>19</v>
      </c>
      <c r="AR78" s="50" t="s">
        <v>19</v>
      </c>
      <c r="AS78" s="50" t="s">
        <v>19</v>
      </c>
      <c r="AT78" s="50" t="s">
        <v>19</v>
      </c>
      <c r="AU78" s="50" t="s">
        <v>19</v>
      </c>
      <c r="AV78" s="50" t="s">
        <v>19</v>
      </c>
      <c r="AW78" s="50" t="s">
        <v>19</v>
      </c>
      <c r="AX78" s="50" t="s">
        <v>19</v>
      </c>
      <c r="AY78" s="50">
        <f t="shared" si="7"/>
        <v>4</v>
      </c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  <c r="CW78" s="50"/>
      <c r="CX78" s="50"/>
      <c r="CY78" s="50"/>
      <c r="CZ78" s="50"/>
    </row>
    <row r="79" spans="1:104" x14ac:dyDescent="0.2">
      <c r="A79" s="47"/>
      <c r="B79" s="47">
        <v>44</v>
      </c>
      <c r="C79" s="50" t="s">
        <v>19</v>
      </c>
      <c r="D79" s="50" t="s">
        <v>19</v>
      </c>
      <c r="E79" s="50" t="s">
        <v>19</v>
      </c>
      <c r="F79" s="50" t="s">
        <v>19</v>
      </c>
      <c r="G79" s="50" t="s">
        <v>19</v>
      </c>
      <c r="H79" s="50" t="s">
        <v>19</v>
      </c>
      <c r="I79" s="50" t="s">
        <v>19</v>
      </c>
      <c r="J79" s="50" t="s">
        <v>19</v>
      </c>
      <c r="K79" s="50" t="s">
        <v>19</v>
      </c>
      <c r="L79" s="50" t="s">
        <v>19</v>
      </c>
      <c r="M79" s="50" t="s">
        <v>19</v>
      </c>
      <c r="N79" s="50" t="s">
        <v>19</v>
      </c>
      <c r="O79" s="50" t="s">
        <v>19</v>
      </c>
      <c r="P79" s="50"/>
      <c r="Q79" s="50"/>
      <c r="R79" s="50" t="s">
        <v>19</v>
      </c>
      <c r="S79" s="50" t="s">
        <v>19</v>
      </c>
      <c r="T79" s="50"/>
      <c r="U79" s="50" t="s">
        <v>19</v>
      </c>
      <c r="V79" s="50" t="s">
        <v>19</v>
      </c>
      <c r="W79" s="50" t="s">
        <v>19</v>
      </c>
      <c r="X79" s="50" t="s">
        <v>19</v>
      </c>
      <c r="Y79" s="50" t="s">
        <v>19</v>
      </c>
      <c r="Z79" s="50" t="s">
        <v>19</v>
      </c>
      <c r="AA79" s="50" t="s">
        <v>19</v>
      </c>
      <c r="AB79" s="50">
        <v>1</v>
      </c>
      <c r="AC79" s="50" t="s">
        <v>19</v>
      </c>
      <c r="AD79" s="50" t="s">
        <v>19</v>
      </c>
      <c r="AE79" s="50" t="s">
        <v>19</v>
      </c>
      <c r="AF79" s="50" t="s">
        <v>19</v>
      </c>
      <c r="AG79" s="50"/>
      <c r="AH79" s="50"/>
      <c r="AI79" s="50" t="s">
        <v>19</v>
      </c>
      <c r="AJ79" s="50" t="s">
        <v>19</v>
      </c>
      <c r="AK79" s="50" t="s">
        <v>19</v>
      </c>
      <c r="AL79" s="50" t="s">
        <v>19</v>
      </c>
      <c r="AM79" s="50" t="s">
        <v>19</v>
      </c>
      <c r="AN79" s="50" t="s">
        <v>19</v>
      </c>
      <c r="AO79" s="50" t="s">
        <v>19</v>
      </c>
      <c r="AP79" s="50" t="s">
        <v>19</v>
      </c>
      <c r="AQ79" s="50" t="s">
        <v>19</v>
      </c>
      <c r="AR79" s="50" t="s">
        <v>19</v>
      </c>
      <c r="AS79" s="50" t="s">
        <v>19</v>
      </c>
      <c r="AT79" s="50">
        <v>1</v>
      </c>
      <c r="AU79" s="50" t="s">
        <v>19</v>
      </c>
      <c r="AV79" s="50" t="s">
        <v>19</v>
      </c>
      <c r="AW79" s="50">
        <v>1</v>
      </c>
      <c r="AX79" s="50" t="s">
        <v>19</v>
      </c>
      <c r="AY79" s="50">
        <f t="shared" si="7"/>
        <v>3</v>
      </c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  <c r="CW79" s="50"/>
      <c r="CX79" s="50"/>
      <c r="CY79" s="50"/>
      <c r="CZ79" s="50"/>
    </row>
    <row r="80" spans="1:104" x14ac:dyDescent="0.2">
      <c r="A80" s="47"/>
      <c r="B80" s="47">
        <v>45</v>
      </c>
      <c r="C80" s="50" t="s">
        <v>19</v>
      </c>
      <c r="D80" s="50" t="s">
        <v>19</v>
      </c>
      <c r="E80" s="50"/>
      <c r="F80" s="50" t="s">
        <v>19</v>
      </c>
      <c r="G80" s="50" t="s">
        <v>19</v>
      </c>
      <c r="H80" s="50" t="s">
        <v>19</v>
      </c>
      <c r="I80" s="50" t="s">
        <v>19</v>
      </c>
      <c r="J80" s="50" t="s">
        <v>19</v>
      </c>
      <c r="K80" s="50">
        <v>1</v>
      </c>
      <c r="L80" s="50" t="s">
        <v>19</v>
      </c>
      <c r="M80" s="50" t="s">
        <v>19</v>
      </c>
      <c r="N80" s="50" t="s">
        <v>19</v>
      </c>
      <c r="O80" s="50">
        <v>1</v>
      </c>
      <c r="P80" s="50" t="s">
        <v>19</v>
      </c>
      <c r="Q80" s="50" t="s">
        <v>19</v>
      </c>
      <c r="R80" s="50"/>
      <c r="S80" s="50" t="s">
        <v>19</v>
      </c>
      <c r="T80" s="50" t="s">
        <v>19</v>
      </c>
      <c r="U80" s="50" t="s">
        <v>19</v>
      </c>
      <c r="V80" s="50" t="s">
        <v>19</v>
      </c>
      <c r="W80" s="50">
        <v>1</v>
      </c>
      <c r="X80" s="50" t="s">
        <v>19</v>
      </c>
      <c r="Y80" s="50" t="s">
        <v>19</v>
      </c>
      <c r="Z80" s="50" t="s">
        <v>19</v>
      </c>
      <c r="AA80" s="50" t="s">
        <v>19</v>
      </c>
      <c r="AB80" s="50" t="s">
        <v>19</v>
      </c>
      <c r="AC80" s="50" t="s">
        <v>19</v>
      </c>
      <c r="AD80" s="50" t="s">
        <v>19</v>
      </c>
      <c r="AE80" s="50" t="s">
        <v>19</v>
      </c>
      <c r="AF80" s="50"/>
      <c r="AG80" s="50" t="s">
        <v>19</v>
      </c>
      <c r="AH80" s="50" t="s">
        <v>19</v>
      </c>
      <c r="AI80" s="50" t="s">
        <v>19</v>
      </c>
      <c r="AJ80" s="50" t="s">
        <v>19</v>
      </c>
      <c r="AK80" s="50" t="s">
        <v>19</v>
      </c>
      <c r="AL80" s="50" t="s">
        <v>19</v>
      </c>
      <c r="AM80" s="50" t="s">
        <v>19</v>
      </c>
      <c r="AN80" s="50" t="s">
        <v>19</v>
      </c>
      <c r="AO80" s="50" t="s">
        <v>19</v>
      </c>
      <c r="AP80" s="50" t="s">
        <v>19</v>
      </c>
      <c r="AQ80" s="50" t="s">
        <v>19</v>
      </c>
      <c r="AR80" s="50">
        <v>1</v>
      </c>
      <c r="AS80" s="50" t="s">
        <v>19</v>
      </c>
      <c r="AT80" s="50" t="s">
        <v>19</v>
      </c>
      <c r="AU80" s="50" t="s">
        <v>19</v>
      </c>
      <c r="AV80" s="50" t="s">
        <v>19</v>
      </c>
      <c r="AW80" s="50" t="s">
        <v>19</v>
      </c>
      <c r="AX80" s="50" t="s">
        <v>19</v>
      </c>
      <c r="AY80" s="50">
        <f t="shared" si="7"/>
        <v>4</v>
      </c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</row>
    <row r="81" spans="1:104" x14ac:dyDescent="0.2">
      <c r="A81" s="47"/>
      <c r="B81" s="47">
        <v>46</v>
      </c>
      <c r="C81" s="50" t="s">
        <v>19</v>
      </c>
      <c r="D81" s="50" t="s">
        <v>19</v>
      </c>
      <c r="E81" s="50">
        <v>1</v>
      </c>
      <c r="F81" s="50" t="s">
        <v>19</v>
      </c>
      <c r="G81" s="50"/>
      <c r="H81" s="50" t="s">
        <v>19</v>
      </c>
      <c r="I81" s="50" t="s">
        <v>19</v>
      </c>
      <c r="J81" s="50"/>
      <c r="K81" s="50" t="s">
        <v>19</v>
      </c>
      <c r="L81" s="50" t="s">
        <v>19</v>
      </c>
      <c r="M81" s="50">
        <v>1</v>
      </c>
      <c r="N81" s="50" t="s">
        <v>19</v>
      </c>
      <c r="O81" s="50" t="s">
        <v>19</v>
      </c>
      <c r="P81" s="50" t="s">
        <v>19</v>
      </c>
      <c r="Q81" s="50" t="s">
        <v>19</v>
      </c>
      <c r="R81" s="50" t="s">
        <v>19</v>
      </c>
      <c r="S81" s="50" t="s">
        <v>19</v>
      </c>
      <c r="T81" s="50" t="s">
        <v>19</v>
      </c>
      <c r="U81" s="50" t="s">
        <v>19</v>
      </c>
      <c r="V81" s="50" t="s">
        <v>19</v>
      </c>
      <c r="W81" s="50" t="s">
        <v>19</v>
      </c>
      <c r="X81" s="50" t="s">
        <v>19</v>
      </c>
      <c r="Y81" s="50" t="s">
        <v>19</v>
      </c>
      <c r="Z81" s="50" t="s">
        <v>19</v>
      </c>
      <c r="AA81" s="50" t="s">
        <v>19</v>
      </c>
      <c r="AB81" s="50" t="s">
        <v>19</v>
      </c>
      <c r="AC81" s="50" t="s">
        <v>19</v>
      </c>
      <c r="AD81" s="50" t="s">
        <v>19</v>
      </c>
      <c r="AE81" s="50" t="s">
        <v>19</v>
      </c>
      <c r="AF81" s="50" t="s">
        <v>19</v>
      </c>
      <c r="AG81" s="50" t="s">
        <v>19</v>
      </c>
      <c r="AH81" s="50" t="s">
        <v>19</v>
      </c>
      <c r="AI81" s="50" t="s">
        <v>19</v>
      </c>
      <c r="AJ81" s="50" t="s">
        <v>19</v>
      </c>
      <c r="AK81" s="50" t="s">
        <v>19</v>
      </c>
      <c r="AL81" s="50"/>
      <c r="AM81" s="50" t="s">
        <v>19</v>
      </c>
      <c r="AN81" s="50" t="s">
        <v>19</v>
      </c>
      <c r="AO81" s="50" t="s">
        <v>19</v>
      </c>
      <c r="AP81" s="50">
        <v>1</v>
      </c>
      <c r="AQ81" s="50" t="s">
        <v>19</v>
      </c>
      <c r="AR81" s="50" t="s">
        <v>19</v>
      </c>
      <c r="AS81" s="50"/>
      <c r="AT81" s="50" t="s">
        <v>19</v>
      </c>
      <c r="AU81" s="50">
        <v>1</v>
      </c>
      <c r="AV81" s="50" t="s">
        <v>19</v>
      </c>
      <c r="AW81" s="50" t="s">
        <v>19</v>
      </c>
      <c r="AX81" s="50" t="s">
        <v>19</v>
      </c>
      <c r="AY81" s="50">
        <f t="shared" si="7"/>
        <v>4</v>
      </c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  <c r="CW81" s="50"/>
      <c r="CX81" s="50"/>
      <c r="CY81" s="50"/>
      <c r="CZ81" s="50"/>
    </row>
    <row r="82" spans="1:104" x14ac:dyDescent="0.2">
      <c r="A82" s="47"/>
      <c r="B82" s="47">
        <v>47</v>
      </c>
      <c r="C82" s="50" t="s">
        <v>19</v>
      </c>
      <c r="D82" s="50" t="s">
        <v>19</v>
      </c>
      <c r="E82" s="50" t="s">
        <v>19</v>
      </c>
      <c r="F82" s="50" t="s">
        <v>19</v>
      </c>
      <c r="G82" s="50" t="s">
        <v>19</v>
      </c>
      <c r="H82" s="50" t="s">
        <v>19</v>
      </c>
      <c r="I82" s="50" t="s">
        <v>19</v>
      </c>
      <c r="J82" s="50" t="s">
        <v>19</v>
      </c>
      <c r="K82" s="50" t="s">
        <v>19</v>
      </c>
      <c r="L82" s="50" t="s">
        <v>19</v>
      </c>
      <c r="M82" s="50" t="s">
        <v>19</v>
      </c>
      <c r="N82" s="50" t="s">
        <v>19</v>
      </c>
      <c r="O82" s="50" t="s">
        <v>19</v>
      </c>
      <c r="P82" s="50" t="s">
        <v>19</v>
      </c>
      <c r="Q82" s="50" t="s">
        <v>19</v>
      </c>
      <c r="R82" s="50" t="s">
        <v>19</v>
      </c>
      <c r="S82" s="50" t="s">
        <v>19</v>
      </c>
      <c r="T82" s="50"/>
      <c r="U82" s="50" t="s">
        <v>19</v>
      </c>
      <c r="V82" s="50" t="s">
        <v>19</v>
      </c>
      <c r="W82" s="50" t="s">
        <v>19</v>
      </c>
      <c r="X82" s="50">
        <v>1</v>
      </c>
      <c r="Y82" s="50" t="s">
        <v>19</v>
      </c>
      <c r="Z82" s="50" t="s">
        <v>19</v>
      </c>
      <c r="AA82" s="50" t="s">
        <v>19</v>
      </c>
      <c r="AB82" s="50">
        <v>1</v>
      </c>
      <c r="AC82" s="50" t="s">
        <v>19</v>
      </c>
      <c r="AD82" s="50" t="s">
        <v>19</v>
      </c>
      <c r="AE82" s="50" t="s">
        <v>19</v>
      </c>
      <c r="AF82" s="50">
        <v>1</v>
      </c>
      <c r="AG82" s="50"/>
      <c r="AH82" s="50"/>
      <c r="AI82" s="50" t="s">
        <v>19</v>
      </c>
      <c r="AJ82" s="50" t="s">
        <v>19</v>
      </c>
      <c r="AK82" s="50" t="s">
        <v>19</v>
      </c>
      <c r="AL82" s="50" t="s">
        <v>19</v>
      </c>
      <c r="AM82" s="50" t="s">
        <v>19</v>
      </c>
      <c r="AN82" s="50" t="s">
        <v>19</v>
      </c>
      <c r="AO82" s="50" t="s">
        <v>19</v>
      </c>
      <c r="AP82" s="50" t="s">
        <v>19</v>
      </c>
      <c r="AQ82" s="50" t="s">
        <v>19</v>
      </c>
      <c r="AR82" s="50"/>
      <c r="AS82" s="50" t="s">
        <v>19</v>
      </c>
      <c r="AT82" s="50" t="s">
        <v>19</v>
      </c>
      <c r="AU82" s="50" t="s">
        <v>19</v>
      </c>
      <c r="AV82" s="50" t="s">
        <v>19</v>
      </c>
      <c r="AW82" s="50">
        <v>1</v>
      </c>
      <c r="AX82" s="50" t="s">
        <v>19</v>
      </c>
      <c r="AY82" s="50">
        <f t="shared" si="7"/>
        <v>4</v>
      </c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  <c r="CW82" s="50"/>
      <c r="CX82" s="50"/>
      <c r="CY82" s="50"/>
      <c r="CZ82" s="50"/>
    </row>
    <row r="83" spans="1:104" x14ac:dyDescent="0.2">
      <c r="A83" s="47"/>
      <c r="B83" s="47">
        <v>48</v>
      </c>
      <c r="C83" s="50" t="s">
        <v>19</v>
      </c>
      <c r="D83" s="50" t="s">
        <v>19</v>
      </c>
      <c r="E83" s="50" t="s">
        <v>19</v>
      </c>
      <c r="F83" s="50" t="s">
        <v>19</v>
      </c>
      <c r="G83" s="50" t="s">
        <v>19</v>
      </c>
      <c r="H83" s="50" t="s">
        <v>19</v>
      </c>
      <c r="I83" s="50" t="s">
        <v>19</v>
      </c>
      <c r="J83" s="50" t="s">
        <v>19</v>
      </c>
      <c r="K83" s="50" t="s">
        <v>19</v>
      </c>
      <c r="L83" s="50" t="s">
        <v>19</v>
      </c>
      <c r="M83" s="50">
        <v>1</v>
      </c>
      <c r="N83" s="50" t="s">
        <v>19</v>
      </c>
      <c r="O83" s="50" t="s">
        <v>19</v>
      </c>
      <c r="P83" s="50" t="s">
        <v>19</v>
      </c>
      <c r="Q83" s="50"/>
      <c r="R83" s="50" t="s">
        <v>19</v>
      </c>
      <c r="S83" s="50" t="s">
        <v>19</v>
      </c>
      <c r="T83" s="50" t="s">
        <v>19</v>
      </c>
      <c r="U83" s="50" t="s">
        <v>19</v>
      </c>
      <c r="V83" s="50" t="s">
        <v>19</v>
      </c>
      <c r="W83" s="50" t="s">
        <v>19</v>
      </c>
      <c r="X83" s="50">
        <v>1</v>
      </c>
      <c r="Y83" s="50" t="s">
        <v>19</v>
      </c>
      <c r="Z83" s="50" t="s">
        <v>19</v>
      </c>
      <c r="AA83" s="50" t="s">
        <v>19</v>
      </c>
      <c r="AB83" s="50" t="s">
        <v>19</v>
      </c>
      <c r="AC83" s="50"/>
      <c r="AD83" s="50" t="s">
        <v>19</v>
      </c>
      <c r="AE83" s="50" t="s">
        <v>19</v>
      </c>
      <c r="AF83" s="50" t="s">
        <v>19</v>
      </c>
      <c r="AG83" s="50" t="s">
        <v>19</v>
      </c>
      <c r="AH83" s="50"/>
      <c r="AI83" s="50" t="s">
        <v>19</v>
      </c>
      <c r="AJ83" s="50" t="s">
        <v>19</v>
      </c>
      <c r="AK83" s="50" t="s">
        <v>19</v>
      </c>
      <c r="AL83" s="50" t="s">
        <v>19</v>
      </c>
      <c r="AM83" s="50" t="s">
        <v>19</v>
      </c>
      <c r="AN83" s="50" t="s">
        <v>19</v>
      </c>
      <c r="AO83" s="50" t="s">
        <v>19</v>
      </c>
      <c r="AP83" s="50">
        <v>1</v>
      </c>
      <c r="AQ83" s="50" t="s">
        <v>19</v>
      </c>
      <c r="AR83" s="50" t="s">
        <v>19</v>
      </c>
      <c r="AS83" s="50" t="s">
        <v>19</v>
      </c>
      <c r="AT83" s="50" t="s">
        <v>19</v>
      </c>
      <c r="AU83" s="50" t="s">
        <v>19</v>
      </c>
      <c r="AV83" s="50" t="s">
        <v>19</v>
      </c>
      <c r="AW83" s="50"/>
      <c r="AX83" s="50"/>
      <c r="AY83" s="50">
        <f t="shared" si="7"/>
        <v>3</v>
      </c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</row>
    <row r="84" spans="1:104" x14ac:dyDescent="0.2">
      <c r="A84" s="47"/>
      <c r="B84" s="47">
        <v>49</v>
      </c>
      <c r="C84" s="50" t="s">
        <v>19</v>
      </c>
      <c r="D84" s="50" t="s">
        <v>19</v>
      </c>
      <c r="E84" s="50" t="s">
        <v>19</v>
      </c>
      <c r="F84" s="50" t="s">
        <v>19</v>
      </c>
      <c r="G84" s="50" t="s">
        <v>19</v>
      </c>
      <c r="H84" s="50" t="s">
        <v>19</v>
      </c>
      <c r="I84" s="50" t="s">
        <v>19</v>
      </c>
      <c r="J84" s="50" t="s">
        <v>19</v>
      </c>
      <c r="K84" s="50" t="s">
        <v>19</v>
      </c>
      <c r="L84" s="50" t="s">
        <v>19</v>
      </c>
      <c r="M84" s="50" t="s">
        <v>19</v>
      </c>
      <c r="N84" s="50" t="s">
        <v>19</v>
      </c>
      <c r="O84" s="50">
        <v>1</v>
      </c>
      <c r="P84" s="50" t="s">
        <v>19</v>
      </c>
      <c r="Q84" s="50" t="s">
        <v>19</v>
      </c>
      <c r="R84" s="50" t="s">
        <v>19</v>
      </c>
      <c r="S84" s="50" t="s">
        <v>19</v>
      </c>
      <c r="T84" s="50" t="s">
        <v>19</v>
      </c>
      <c r="U84" s="50" t="s">
        <v>19</v>
      </c>
      <c r="V84" s="50" t="s">
        <v>19</v>
      </c>
      <c r="W84" s="50">
        <v>1</v>
      </c>
      <c r="X84" s="50" t="s">
        <v>19</v>
      </c>
      <c r="Y84" s="50" t="s">
        <v>19</v>
      </c>
      <c r="Z84" s="50" t="s">
        <v>19</v>
      </c>
      <c r="AA84" s="50" t="s">
        <v>19</v>
      </c>
      <c r="AB84" s="50" t="s">
        <v>19</v>
      </c>
      <c r="AC84" s="50" t="s">
        <v>19</v>
      </c>
      <c r="AD84" s="50" t="s">
        <v>19</v>
      </c>
      <c r="AE84" s="50" t="s">
        <v>19</v>
      </c>
      <c r="AF84" s="50" t="s">
        <v>19</v>
      </c>
      <c r="AG84" s="50" t="s">
        <v>19</v>
      </c>
      <c r="AH84" s="50" t="s">
        <v>19</v>
      </c>
      <c r="AI84" s="50">
        <v>1</v>
      </c>
      <c r="AJ84" s="50"/>
      <c r="AK84" s="50" t="s">
        <v>19</v>
      </c>
      <c r="AL84" s="50" t="s">
        <v>19</v>
      </c>
      <c r="AM84" s="50" t="s">
        <v>19</v>
      </c>
      <c r="AN84" s="50" t="s">
        <v>19</v>
      </c>
      <c r="AO84" s="50" t="s">
        <v>19</v>
      </c>
      <c r="AP84" s="50" t="s">
        <v>19</v>
      </c>
      <c r="AQ84" s="50" t="s">
        <v>19</v>
      </c>
      <c r="AR84" s="50" t="s">
        <v>19</v>
      </c>
      <c r="AS84" s="50" t="s">
        <v>19</v>
      </c>
      <c r="AT84" s="50" t="s">
        <v>19</v>
      </c>
      <c r="AU84" s="50"/>
      <c r="AV84" s="50" t="s">
        <v>19</v>
      </c>
      <c r="AW84" s="50">
        <v>1</v>
      </c>
      <c r="AX84" s="50" t="s">
        <v>19</v>
      </c>
      <c r="AY84" s="50">
        <f t="shared" si="7"/>
        <v>4</v>
      </c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  <c r="CY84" s="50"/>
      <c r="CZ84" s="50"/>
    </row>
    <row r="85" spans="1:104" x14ac:dyDescent="0.2">
      <c r="A85" s="47"/>
      <c r="B85" s="47">
        <v>50</v>
      </c>
      <c r="C85" s="50" t="s">
        <v>19</v>
      </c>
      <c r="D85" s="50" t="s">
        <v>19</v>
      </c>
      <c r="E85" s="50" t="s">
        <v>19</v>
      </c>
      <c r="F85" s="50" t="s">
        <v>19</v>
      </c>
      <c r="G85" s="50" t="s">
        <v>19</v>
      </c>
      <c r="H85" s="50" t="s">
        <v>19</v>
      </c>
      <c r="I85" s="50" t="s">
        <v>19</v>
      </c>
      <c r="J85" s="50" t="s">
        <v>19</v>
      </c>
      <c r="K85" s="50" t="s">
        <v>19</v>
      </c>
      <c r="L85" s="50" t="s">
        <v>19</v>
      </c>
      <c r="M85" s="50" t="s">
        <v>19</v>
      </c>
      <c r="N85" s="50" t="s">
        <v>19</v>
      </c>
      <c r="O85" s="50"/>
      <c r="P85" s="50" t="s">
        <v>19</v>
      </c>
      <c r="Q85" s="50">
        <v>1</v>
      </c>
      <c r="R85" s="50" t="s">
        <v>19</v>
      </c>
      <c r="S85" s="50">
        <v>1</v>
      </c>
      <c r="T85" s="50" t="s">
        <v>19</v>
      </c>
      <c r="U85" s="50" t="s">
        <v>19</v>
      </c>
      <c r="V85" s="50" t="s">
        <v>19</v>
      </c>
      <c r="W85" s="50" t="s">
        <v>19</v>
      </c>
      <c r="X85" s="50"/>
      <c r="Y85" s="50" t="s">
        <v>19</v>
      </c>
      <c r="Z85" s="50" t="s">
        <v>19</v>
      </c>
      <c r="AA85" s="50" t="s">
        <v>19</v>
      </c>
      <c r="AB85" s="50" t="s">
        <v>19</v>
      </c>
      <c r="AC85" s="50"/>
      <c r="AD85" s="50" t="s">
        <v>19</v>
      </c>
      <c r="AE85" s="50">
        <v>1</v>
      </c>
      <c r="AF85" s="50" t="s">
        <v>19</v>
      </c>
      <c r="AG85" s="50" t="s">
        <v>19</v>
      </c>
      <c r="AH85" s="50" t="s">
        <v>19</v>
      </c>
      <c r="AI85" s="50" t="s">
        <v>19</v>
      </c>
      <c r="AJ85" s="50" t="s">
        <v>19</v>
      </c>
      <c r="AK85" s="50" t="s">
        <v>19</v>
      </c>
      <c r="AL85" s="50" t="s">
        <v>19</v>
      </c>
      <c r="AM85" s="50" t="s">
        <v>19</v>
      </c>
      <c r="AN85" s="50" t="s">
        <v>19</v>
      </c>
      <c r="AO85" s="50" t="s">
        <v>19</v>
      </c>
      <c r="AP85" s="50" t="s">
        <v>19</v>
      </c>
      <c r="AQ85" s="50" t="s">
        <v>19</v>
      </c>
      <c r="AR85" s="50" t="s">
        <v>19</v>
      </c>
      <c r="AS85" s="50" t="s">
        <v>19</v>
      </c>
      <c r="AT85" s="50">
        <v>1</v>
      </c>
      <c r="AU85" s="50" t="s">
        <v>19</v>
      </c>
      <c r="AV85" s="50" t="s">
        <v>19</v>
      </c>
      <c r="AW85" s="50"/>
      <c r="AX85" s="50" t="s">
        <v>19</v>
      </c>
      <c r="AY85" s="50">
        <f>SUM(C85:AX85)</f>
        <v>4</v>
      </c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</row>
    <row r="86" spans="1:104" x14ac:dyDescent="0.2">
      <c r="A86" s="47"/>
      <c r="B86" s="47"/>
      <c r="C86" s="50">
        <f>SUM(C36:C85)</f>
        <v>4</v>
      </c>
      <c r="D86" s="50">
        <f t="shared" ref="D86:AX86" si="8">SUM(D36:D85)</f>
        <v>4</v>
      </c>
      <c r="E86" s="50">
        <f t="shared" si="8"/>
        <v>8</v>
      </c>
      <c r="F86" s="50">
        <f t="shared" si="8"/>
        <v>4</v>
      </c>
      <c r="G86" s="50">
        <f t="shared" si="8"/>
        <v>3</v>
      </c>
      <c r="H86" s="50">
        <f t="shared" si="8"/>
        <v>4</v>
      </c>
      <c r="I86" s="50">
        <f t="shared" si="8"/>
        <v>2</v>
      </c>
      <c r="J86" s="50">
        <f t="shared" si="8"/>
        <v>2</v>
      </c>
      <c r="K86" s="50">
        <f t="shared" si="8"/>
        <v>8</v>
      </c>
      <c r="L86" s="50">
        <f t="shared" si="8"/>
        <v>4</v>
      </c>
      <c r="M86" s="50">
        <f t="shared" si="8"/>
        <v>3</v>
      </c>
      <c r="N86" s="50">
        <f t="shared" si="8"/>
        <v>1</v>
      </c>
      <c r="O86" s="50">
        <f t="shared" si="8"/>
        <v>8</v>
      </c>
      <c r="P86" s="50">
        <f t="shared" si="8"/>
        <v>4</v>
      </c>
      <c r="Q86" s="50">
        <f t="shared" si="8"/>
        <v>3</v>
      </c>
      <c r="R86" s="50">
        <f t="shared" si="8"/>
        <v>4</v>
      </c>
      <c r="S86" s="50">
        <f t="shared" si="8"/>
        <v>8</v>
      </c>
      <c r="T86" s="50">
        <f t="shared" si="8"/>
        <v>3</v>
      </c>
      <c r="U86" s="50">
        <f t="shared" si="8"/>
        <v>1</v>
      </c>
      <c r="V86" s="50">
        <f t="shared" si="8"/>
        <v>5</v>
      </c>
      <c r="W86" s="50">
        <f t="shared" si="8"/>
        <v>6</v>
      </c>
      <c r="X86" s="50">
        <f t="shared" si="8"/>
        <v>8</v>
      </c>
      <c r="Y86" s="50">
        <f t="shared" si="8"/>
        <v>3</v>
      </c>
      <c r="Z86" s="50">
        <f t="shared" si="8"/>
        <v>2</v>
      </c>
      <c r="AA86" s="50">
        <f t="shared" si="8"/>
        <v>3</v>
      </c>
      <c r="AB86" s="50">
        <f t="shared" si="8"/>
        <v>9</v>
      </c>
      <c r="AC86" s="50">
        <f t="shared" si="8"/>
        <v>4</v>
      </c>
      <c r="AD86" s="50">
        <f t="shared" si="8"/>
        <v>5</v>
      </c>
      <c r="AE86" s="50">
        <f t="shared" si="8"/>
        <v>3</v>
      </c>
      <c r="AF86" s="50">
        <f t="shared" si="8"/>
        <v>5</v>
      </c>
      <c r="AG86" s="50">
        <f t="shared" si="8"/>
        <v>4</v>
      </c>
      <c r="AH86" s="50">
        <f t="shared" si="8"/>
        <v>3</v>
      </c>
      <c r="AI86" s="50">
        <f t="shared" si="8"/>
        <v>2</v>
      </c>
      <c r="AJ86" s="50">
        <f t="shared" si="8"/>
        <v>3</v>
      </c>
      <c r="AK86" s="50">
        <f t="shared" si="8"/>
        <v>4</v>
      </c>
      <c r="AL86" s="50">
        <f t="shared" si="8"/>
        <v>5</v>
      </c>
      <c r="AM86" s="50">
        <f t="shared" si="8"/>
        <v>5</v>
      </c>
      <c r="AN86" s="50">
        <f t="shared" si="8"/>
        <v>4</v>
      </c>
      <c r="AO86" s="50">
        <f t="shared" si="8"/>
        <v>4</v>
      </c>
      <c r="AP86" s="50">
        <f t="shared" si="8"/>
        <v>9</v>
      </c>
      <c r="AQ86" s="50">
        <f t="shared" si="8"/>
        <v>5</v>
      </c>
      <c r="AR86" s="50">
        <f t="shared" si="8"/>
        <v>3</v>
      </c>
      <c r="AS86" s="50">
        <f t="shared" si="8"/>
        <v>0</v>
      </c>
      <c r="AT86" s="50">
        <f t="shared" si="8"/>
        <v>4</v>
      </c>
      <c r="AU86" s="50">
        <f t="shared" si="8"/>
        <v>6</v>
      </c>
      <c r="AV86" s="50">
        <f t="shared" si="8"/>
        <v>4</v>
      </c>
      <c r="AW86" s="50">
        <f t="shared" si="8"/>
        <v>8</v>
      </c>
      <c r="AX86" s="50">
        <f t="shared" si="8"/>
        <v>5</v>
      </c>
      <c r="AY86" s="50">
        <f>SUM(C86:AX86)</f>
        <v>209</v>
      </c>
      <c r="AZ86" s="47"/>
      <c r="BA86" s="47"/>
      <c r="BB86" s="47"/>
      <c r="BC86" s="47"/>
      <c r="BD86" s="47"/>
    </row>
    <row r="87" spans="1:104" x14ac:dyDescent="0.2">
      <c r="AY87" s="47"/>
      <c r="AZ87" s="47"/>
      <c r="BA87" s="47"/>
      <c r="BB87" s="47"/>
      <c r="BC87" s="47"/>
      <c r="BD87" s="47"/>
    </row>
    <row r="88" spans="1:104" x14ac:dyDescent="0.2">
      <c r="A88" s="46" t="s">
        <v>42</v>
      </c>
      <c r="C88" s="48" t="s">
        <v>4</v>
      </c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</row>
    <row r="89" spans="1:104" x14ac:dyDescent="0.2">
      <c r="C89" s="49">
        <v>1</v>
      </c>
      <c r="D89" s="49">
        <v>2</v>
      </c>
      <c r="E89" s="49">
        <v>3</v>
      </c>
      <c r="F89" s="49">
        <v>4</v>
      </c>
      <c r="G89" s="49">
        <v>5</v>
      </c>
      <c r="H89" s="49">
        <v>6</v>
      </c>
      <c r="I89" s="49">
        <v>7</v>
      </c>
      <c r="J89" s="49">
        <v>8</v>
      </c>
      <c r="K89" s="49">
        <v>9</v>
      </c>
      <c r="L89" s="49">
        <v>10</v>
      </c>
      <c r="M89" s="49">
        <v>11</v>
      </c>
      <c r="N89" s="49">
        <v>12</v>
      </c>
      <c r="O89" s="49">
        <v>13</v>
      </c>
      <c r="P89" s="49">
        <v>14</v>
      </c>
      <c r="Q89" s="49">
        <v>15</v>
      </c>
      <c r="R89" s="49">
        <v>16</v>
      </c>
      <c r="S89" s="49">
        <v>17</v>
      </c>
      <c r="T89" s="49">
        <v>18</v>
      </c>
      <c r="U89" s="49">
        <v>19</v>
      </c>
      <c r="V89" s="49">
        <v>20</v>
      </c>
      <c r="W89" s="49">
        <v>21</v>
      </c>
      <c r="X89" s="49">
        <v>22</v>
      </c>
      <c r="Y89" s="49">
        <v>23</v>
      </c>
      <c r="Z89" s="49">
        <v>24</v>
      </c>
      <c r="AA89" s="49">
        <v>25</v>
      </c>
      <c r="AB89" s="49">
        <v>26</v>
      </c>
      <c r="AC89" s="49">
        <v>27</v>
      </c>
      <c r="AD89" s="49">
        <v>28</v>
      </c>
      <c r="AE89" s="49">
        <v>29</v>
      </c>
      <c r="AF89" s="49">
        <v>30</v>
      </c>
      <c r="AG89" s="49">
        <v>31</v>
      </c>
      <c r="AH89" s="49">
        <v>32</v>
      </c>
      <c r="AI89" s="49">
        <v>33</v>
      </c>
      <c r="AJ89" s="49">
        <v>34</v>
      </c>
      <c r="AK89" s="49">
        <v>35</v>
      </c>
      <c r="AL89" s="49">
        <v>36</v>
      </c>
      <c r="AM89" s="49">
        <v>37</v>
      </c>
      <c r="AN89" s="49">
        <v>38</v>
      </c>
      <c r="AO89" s="49">
        <v>39</v>
      </c>
      <c r="AP89" s="49">
        <v>40</v>
      </c>
      <c r="AQ89" s="49">
        <v>41</v>
      </c>
      <c r="AR89" s="49">
        <v>42</v>
      </c>
      <c r="AS89" s="49">
        <v>43</v>
      </c>
      <c r="AT89" s="49">
        <v>44</v>
      </c>
      <c r="AU89" s="49">
        <v>45</v>
      </c>
      <c r="AV89" s="49">
        <v>46</v>
      </c>
      <c r="AW89" s="49">
        <v>47</v>
      </c>
      <c r="AX89" s="49">
        <v>48</v>
      </c>
      <c r="AY89" s="47"/>
      <c r="AZ89" s="47"/>
      <c r="BA89" s="47"/>
      <c r="BB89" s="47"/>
      <c r="BC89" s="47"/>
      <c r="BD89" s="47"/>
    </row>
    <row r="90" spans="1:104" x14ac:dyDescent="0.2">
      <c r="A90" s="51" t="s">
        <v>4</v>
      </c>
      <c r="B90" s="47">
        <v>1</v>
      </c>
      <c r="C90" s="52">
        <f t="shared" ref="C90:L99" si="9">eventClash(C$89,$B90, eventStudent)</f>
        <v>1</v>
      </c>
      <c r="D90" s="52">
        <f t="shared" si="9"/>
        <v>0</v>
      </c>
      <c r="E90" s="52">
        <f t="shared" si="9"/>
        <v>1</v>
      </c>
      <c r="F90" s="52">
        <f t="shared" si="9"/>
        <v>1</v>
      </c>
      <c r="G90" s="52">
        <f t="shared" si="9"/>
        <v>0</v>
      </c>
      <c r="H90" s="52">
        <f t="shared" si="9"/>
        <v>0</v>
      </c>
      <c r="I90" s="52">
        <f t="shared" si="9"/>
        <v>0</v>
      </c>
      <c r="J90" s="52">
        <f t="shared" si="9"/>
        <v>0</v>
      </c>
      <c r="K90" s="52">
        <f t="shared" si="9"/>
        <v>1</v>
      </c>
      <c r="L90" s="52">
        <f t="shared" si="9"/>
        <v>0</v>
      </c>
      <c r="M90" s="52">
        <f t="shared" ref="M90:V99" si="10">eventClash(M$89,$B90, eventStudent)</f>
        <v>0</v>
      </c>
      <c r="N90" s="52">
        <f t="shared" si="10"/>
        <v>0</v>
      </c>
      <c r="O90" s="52">
        <f t="shared" si="10"/>
        <v>0</v>
      </c>
      <c r="P90" s="52">
        <f t="shared" si="10"/>
        <v>1</v>
      </c>
      <c r="Q90" s="52">
        <f t="shared" si="10"/>
        <v>0</v>
      </c>
      <c r="R90" s="52">
        <f t="shared" si="10"/>
        <v>0</v>
      </c>
      <c r="S90" s="52">
        <f t="shared" si="10"/>
        <v>0</v>
      </c>
      <c r="T90" s="52">
        <f t="shared" si="10"/>
        <v>0</v>
      </c>
      <c r="U90" s="52">
        <f t="shared" si="10"/>
        <v>0</v>
      </c>
      <c r="V90" s="52">
        <f t="shared" si="10"/>
        <v>1</v>
      </c>
      <c r="W90" s="52">
        <f t="shared" ref="W90:AF99" si="11">eventClash(W$89,$B90, eventStudent)</f>
        <v>0</v>
      </c>
      <c r="X90" s="52">
        <f t="shared" si="11"/>
        <v>1</v>
      </c>
      <c r="Y90" s="52">
        <f t="shared" si="11"/>
        <v>0</v>
      </c>
      <c r="Z90" s="52">
        <f t="shared" si="11"/>
        <v>0</v>
      </c>
      <c r="AA90" s="52">
        <f t="shared" si="11"/>
        <v>0</v>
      </c>
      <c r="AB90" s="52">
        <f t="shared" si="11"/>
        <v>1</v>
      </c>
      <c r="AC90" s="52">
        <f t="shared" si="11"/>
        <v>0</v>
      </c>
      <c r="AD90" s="52">
        <f t="shared" si="11"/>
        <v>0</v>
      </c>
      <c r="AE90" s="52">
        <f t="shared" si="11"/>
        <v>0</v>
      </c>
      <c r="AF90" s="52">
        <f t="shared" si="11"/>
        <v>0</v>
      </c>
      <c r="AG90" s="52">
        <f t="shared" ref="AG90:AP99" si="12">eventClash(AG$89,$B90, eventStudent)</f>
        <v>0</v>
      </c>
      <c r="AH90" s="52">
        <f t="shared" si="12"/>
        <v>0</v>
      </c>
      <c r="AI90" s="52">
        <f t="shared" si="12"/>
        <v>0</v>
      </c>
      <c r="AJ90" s="52">
        <f t="shared" si="12"/>
        <v>0</v>
      </c>
      <c r="AK90" s="52">
        <f t="shared" si="12"/>
        <v>0</v>
      </c>
      <c r="AL90" s="52">
        <f t="shared" si="12"/>
        <v>0</v>
      </c>
      <c r="AM90" s="52">
        <f t="shared" si="12"/>
        <v>1</v>
      </c>
      <c r="AN90" s="52">
        <f t="shared" si="12"/>
        <v>1</v>
      </c>
      <c r="AO90" s="52">
        <f t="shared" si="12"/>
        <v>0</v>
      </c>
      <c r="AP90" s="52">
        <f t="shared" si="12"/>
        <v>0</v>
      </c>
      <c r="AQ90" s="52">
        <f t="shared" ref="AQ90:AX99" si="13">eventClash(AQ$89,$B90, eventStudent)</f>
        <v>1</v>
      </c>
      <c r="AR90" s="52">
        <f t="shared" si="13"/>
        <v>0</v>
      </c>
      <c r="AS90" s="52">
        <f t="shared" si="13"/>
        <v>0</v>
      </c>
      <c r="AT90" s="52">
        <f t="shared" si="13"/>
        <v>0</v>
      </c>
      <c r="AU90" s="52">
        <f t="shared" si="13"/>
        <v>0</v>
      </c>
      <c r="AV90" s="52">
        <f t="shared" si="13"/>
        <v>0</v>
      </c>
      <c r="AW90" s="52">
        <f t="shared" si="13"/>
        <v>1</v>
      </c>
      <c r="AX90" s="52">
        <f t="shared" si="13"/>
        <v>0</v>
      </c>
      <c r="AY90" s="47"/>
      <c r="AZ90" s="47"/>
      <c r="BA90" s="47"/>
      <c r="BB90" s="47"/>
      <c r="BC90" s="47"/>
      <c r="BD90" s="47"/>
    </row>
    <row r="91" spans="1:104" x14ac:dyDescent="0.2">
      <c r="B91" s="47">
        <v>2</v>
      </c>
      <c r="C91" s="52">
        <f t="shared" si="9"/>
        <v>0</v>
      </c>
      <c r="D91" s="52">
        <f t="shared" si="9"/>
        <v>1</v>
      </c>
      <c r="E91" s="52">
        <f t="shared" si="9"/>
        <v>0</v>
      </c>
      <c r="F91" s="52">
        <f t="shared" si="9"/>
        <v>1</v>
      </c>
      <c r="G91" s="52">
        <f t="shared" si="9"/>
        <v>0</v>
      </c>
      <c r="H91" s="52">
        <f t="shared" si="9"/>
        <v>1</v>
      </c>
      <c r="I91" s="52">
        <f t="shared" si="9"/>
        <v>0</v>
      </c>
      <c r="J91" s="52">
        <f t="shared" si="9"/>
        <v>0</v>
      </c>
      <c r="K91" s="52">
        <f t="shared" si="9"/>
        <v>0</v>
      </c>
      <c r="L91" s="52">
        <f t="shared" si="9"/>
        <v>0</v>
      </c>
      <c r="M91" s="52">
        <f t="shared" si="10"/>
        <v>0</v>
      </c>
      <c r="N91" s="52">
        <f t="shared" si="10"/>
        <v>0</v>
      </c>
      <c r="O91" s="52">
        <f t="shared" si="10"/>
        <v>1</v>
      </c>
      <c r="P91" s="52">
        <f t="shared" si="10"/>
        <v>0</v>
      </c>
      <c r="Q91" s="52">
        <f t="shared" si="10"/>
        <v>0</v>
      </c>
      <c r="R91" s="52">
        <f t="shared" si="10"/>
        <v>0</v>
      </c>
      <c r="S91" s="52">
        <f t="shared" si="10"/>
        <v>1</v>
      </c>
      <c r="T91" s="52">
        <f t="shared" si="10"/>
        <v>0</v>
      </c>
      <c r="U91" s="52">
        <f t="shared" si="10"/>
        <v>0</v>
      </c>
      <c r="V91" s="52">
        <f t="shared" si="10"/>
        <v>0</v>
      </c>
      <c r="W91" s="52">
        <f t="shared" si="11"/>
        <v>0</v>
      </c>
      <c r="X91" s="52">
        <f t="shared" si="11"/>
        <v>0</v>
      </c>
      <c r="Y91" s="52">
        <f t="shared" si="11"/>
        <v>1</v>
      </c>
      <c r="Z91" s="52">
        <f t="shared" si="11"/>
        <v>0</v>
      </c>
      <c r="AA91" s="52">
        <f t="shared" si="11"/>
        <v>0</v>
      </c>
      <c r="AB91" s="52">
        <f t="shared" si="11"/>
        <v>0</v>
      </c>
      <c r="AC91" s="52">
        <f t="shared" si="11"/>
        <v>0</v>
      </c>
      <c r="AD91" s="52">
        <f t="shared" si="11"/>
        <v>1</v>
      </c>
      <c r="AE91" s="52">
        <f t="shared" si="11"/>
        <v>1</v>
      </c>
      <c r="AF91" s="52">
        <f t="shared" si="11"/>
        <v>0</v>
      </c>
      <c r="AG91" s="52">
        <f t="shared" si="12"/>
        <v>0</v>
      </c>
      <c r="AH91" s="52">
        <f t="shared" si="12"/>
        <v>1</v>
      </c>
      <c r="AI91" s="52">
        <f t="shared" si="12"/>
        <v>0</v>
      </c>
      <c r="AJ91" s="52">
        <f t="shared" si="12"/>
        <v>0</v>
      </c>
      <c r="AK91" s="52">
        <f t="shared" si="12"/>
        <v>0</v>
      </c>
      <c r="AL91" s="52">
        <f t="shared" si="12"/>
        <v>0</v>
      </c>
      <c r="AM91" s="52">
        <f t="shared" si="12"/>
        <v>0</v>
      </c>
      <c r="AN91" s="52">
        <f t="shared" si="12"/>
        <v>0</v>
      </c>
      <c r="AO91" s="52">
        <f t="shared" si="12"/>
        <v>0</v>
      </c>
      <c r="AP91" s="52">
        <f t="shared" si="12"/>
        <v>1</v>
      </c>
      <c r="AQ91" s="52">
        <f t="shared" si="13"/>
        <v>1</v>
      </c>
      <c r="AR91" s="52">
        <f t="shared" si="13"/>
        <v>0</v>
      </c>
      <c r="AS91" s="52">
        <f t="shared" si="13"/>
        <v>0</v>
      </c>
      <c r="AT91" s="52">
        <f t="shared" si="13"/>
        <v>0</v>
      </c>
      <c r="AU91" s="52">
        <f t="shared" si="13"/>
        <v>0</v>
      </c>
      <c r="AV91" s="52">
        <f t="shared" si="13"/>
        <v>0</v>
      </c>
      <c r="AW91" s="52">
        <f t="shared" si="13"/>
        <v>1</v>
      </c>
      <c r="AX91" s="52">
        <f t="shared" si="13"/>
        <v>0</v>
      </c>
    </row>
    <row r="92" spans="1:104" x14ac:dyDescent="0.2">
      <c r="B92" s="47">
        <v>3</v>
      </c>
      <c r="C92" s="52">
        <f t="shared" si="9"/>
        <v>1</v>
      </c>
      <c r="D92" s="52">
        <f t="shared" si="9"/>
        <v>0</v>
      </c>
      <c r="E92" s="52">
        <f t="shared" si="9"/>
        <v>1</v>
      </c>
      <c r="F92" s="52">
        <f t="shared" si="9"/>
        <v>0</v>
      </c>
      <c r="G92" s="52">
        <f t="shared" si="9"/>
        <v>0</v>
      </c>
      <c r="H92" s="52">
        <f t="shared" si="9"/>
        <v>0</v>
      </c>
      <c r="I92" s="52">
        <f t="shared" si="9"/>
        <v>0</v>
      </c>
      <c r="J92" s="52">
        <f t="shared" si="9"/>
        <v>0</v>
      </c>
      <c r="K92" s="52">
        <f t="shared" si="9"/>
        <v>1</v>
      </c>
      <c r="L92" s="52">
        <f t="shared" si="9"/>
        <v>0</v>
      </c>
      <c r="M92" s="52">
        <f t="shared" si="10"/>
        <v>1</v>
      </c>
      <c r="N92" s="52">
        <f t="shared" si="10"/>
        <v>0</v>
      </c>
      <c r="O92" s="52">
        <f t="shared" si="10"/>
        <v>1</v>
      </c>
      <c r="P92" s="52">
        <f t="shared" si="10"/>
        <v>1</v>
      </c>
      <c r="Q92" s="52">
        <f t="shared" si="10"/>
        <v>0</v>
      </c>
      <c r="R92" s="52">
        <f t="shared" si="10"/>
        <v>1</v>
      </c>
      <c r="S92" s="52">
        <f t="shared" si="10"/>
        <v>1</v>
      </c>
      <c r="T92" s="52">
        <f t="shared" si="10"/>
        <v>1</v>
      </c>
      <c r="U92" s="52">
        <f t="shared" si="10"/>
        <v>0</v>
      </c>
      <c r="V92" s="52">
        <f t="shared" si="10"/>
        <v>1</v>
      </c>
      <c r="W92" s="52">
        <f t="shared" si="11"/>
        <v>0</v>
      </c>
      <c r="X92" s="52">
        <f t="shared" si="11"/>
        <v>0</v>
      </c>
      <c r="Y92" s="52">
        <f t="shared" si="11"/>
        <v>0</v>
      </c>
      <c r="Z92" s="52">
        <f t="shared" si="11"/>
        <v>0</v>
      </c>
      <c r="AA92" s="52">
        <f t="shared" si="11"/>
        <v>0</v>
      </c>
      <c r="AB92" s="52">
        <f t="shared" si="11"/>
        <v>1</v>
      </c>
      <c r="AC92" s="52">
        <f t="shared" si="11"/>
        <v>0</v>
      </c>
      <c r="AD92" s="52">
        <f t="shared" si="11"/>
        <v>1</v>
      </c>
      <c r="AE92" s="52">
        <f t="shared" si="11"/>
        <v>0</v>
      </c>
      <c r="AF92" s="52">
        <f t="shared" si="11"/>
        <v>1</v>
      </c>
      <c r="AG92" s="52">
        <f t="shared" si="12"/>
        <v>0</v>
      </c>
      <c r="AH92" s="52">
        <f t="shared" si="12"/>
        <v>0</v>
      </c>
      <c r="AI92" s="52">
        <f t="shared" si="12"/>
        <v>1</v>
      </c>
      <c r="AJ92" s="52">
        <f t="shared" si="12"/>
        <v>0</v>
      </c>
      <c r="AK92" s="52">
        <f t="shared" si="12"/>
        <v>1</v>
      </c>
      <c r="AL92" s="52">
        <f t="shared" si="12"/>
        <v>0</v>
      </c>
      <c r="AM92" s="52">
        <f t="shared" si="12"/>
        <v>0</v>
      </c>
      <c r="AN92" s="52">
        <f t="shared" si="12"/>
        <v>0</v>
      </c>
      <c r="AO92" s="52">
        <f t="shared" si="12"/>
        <v>0</v>
      </c>
      <c r="AP92" s="52">
        <f t="shared" si="12"/>
        <v>1</v>
      </c>
      <c r="AQ92" s="52">
        <f t="shared" si="13"/>
        <v>0</v>
      </c>
      <c r="AR92" s="52">
        <f t="shared" si="13"/>
        <v>1</v>
      </c>
      <c r="AS92" s="52">
        <f t="shared" si="13"/>
        <v>0</v>
      </c>
      <c r="AT92" s="52">
        <f t="shared" si="13"/>
        <v>0</v>
      </c>
      <c r="AU92" s="52">
        <f t="shared" si="13"/>
        <v>1</v>
      </c>
      <c r="AV92" s="52">
        <f t="shared" si="13"/>
        <v>0</v>
      </c>
      <c r="AW92" s="52">
        <f t="shared" si="13"/>
        <v>1</v>
      </c>
      <c r="AX92" s="52">
        <f t="shared" si="13"/>
        <v>1</v>
      </c>
    </row>
    <row r="93" spans="1:104" x14ac:dyDescent="0.2">
      <c r="B93" s="47">
        <v>4</v>
      </c>
      <c r="C93" s="52">
        <f t="shared" si="9"/>
        <v>1</v>
      </c>
      <c r="D93" s="52">
        <f t="shared" si="9"/>
        <v>1</v>
      </c>
      <c r="E93" s="52">
        <f t="shared" si="9"/>
        <v>0</v>
      </c>
      <c r="F93" s="52">
        <f t="shared" si="9"/>
        <v>1</v>
      </c>
      <c r="G93" s="52">
        <f t="shared" si="9"/>
        <v>0</v>
      </c>
      <c r="H93" s="52">
        <f t="shared" si="9"/>
        <v>1</v>
      </c>
      <c r="I93" s="52">
        <f t="shared" si="9"/>
        <v>1</v>
      </c>
      <c r="J93" s="52">
        <f t="shared" si="9"/>
        <v>0</v>
      </c>
      <c r="K93" s="52">
        <f t="shared" si="9"/>
        <v>0</v>
      </c>
      <c r="L93" s="52">
        <f t="shared" si="9"/>
        <v>0</v>
      </c>
      <c r="M93" s="52">
        <f t="shared" si="10"/>
        <v>0</v>
      </c>
      <c r="N93" s="52">
        <f t="shared" si="10"/>
        <v>0</v>
      </c>
      <c r="O93" s="52">
        <f t="shared" si="10"/>
        <v>0</v>
      </c>
      <c r="P93" s="52">
        <f t="shared" si="10"/>
        <v>0</v>
      </c>
      <c r="Q93" s="52">
        <f t="shared" si="10"/>
        <v>0</v>
      </c>
      <c r="R93" s="52">
        <f t="shared" si="10"/>
        <v>0</v>
      </c>
      <c r="S93" s="52">
        <f t="shared" si="10"/>
        <v>1</v>
      </c>
      <c r="T93" s="52">
        <f t="shared" si="10"/>
        <v>0</v>
      </c>
      <c r="U93" s="52">
        <f t="shared" si="10"/>
        <v>0</v>
      </c>
      <c r="V93" s="52">
        <f t="shared" si="10"/>
        <v>1</v>
      </c>
      <c r="W93" s="52">
        <f t="shared" si="11"/>
        <v>0</v>
      </c>
      <c r="X93" s="52">
        <f t="shared" si="11"/>
        <v>0</v>
      </c>
      <c r="Y93" s="52">
        <f t="shared" si="11"/>
        <v>1</v>
      </c>
      <c r="Z93" s="52">
        <f t="shared" si="11"/>
        <v>0</v>
      </c>
      <c r="AA93" s="52">
        <f t="shared" si="11"/>
        <v>1</v>
      </c>
      <c r="AB93" s="52">
        <f t="shared" si="11"/>
        <v>1</v>
      </c>
      <c r="AC93" s="52">
        <f t="shared" si="11"/>
        <v>0</v>
      </c>
      <c r="AD93" s="52">
        <f t="shared" si="11"/>
        <v>1</v>
      </c>
      <c r="AE93" s="52">
        <f t="shared" si="11"/>
        <v>1</v>
      </c>
      <c r="AF93" s="52">
        <f t="shared" si="11"/>
        <v>0</v>
      </c>
      <c r="AG93" s="52">
        <f t="shared" si="12"/>
        <v>0</v>
      </c>
      <c r="AH93" s="52">
        <f t="shared" si="12"/>
        <v>0</v>
      </c>
      <c r="AI93" s="52">
        <f t="shared" si="12"/>
        <v>0</v>
      </c>
      <c r="AJ93" s="52">
        <f t="shared" si="12"/>
        <v>0</v>
      </c>
      <c r="AK93" s="52">
        <f t="shared" si="12"/>
        <v>0</v>
      </c>
      <c r="AL93" s="52">
        <f t="shared" si="12"/>
        <v>0</v>
      </c>
      <c r="AM93" s="52">
        <f t="shared" si="12"/>
        <v>0</v>
      </c>
      <c r="AN93" s="52">
        <f t="shared" si="12"/>
        <v>0</v>
      </c>
      <c r="AO93" s="52">
        <f t="shared" si="12"/>
        <v>0</v>
      </c>
      <c r="AP93" s="52">
        <f t="shared" si="12"/>
        <v>1</v>
      </c>
      <c r="AQ93" s="52">
        <f t="shared" si="13"/>
        <v>0</v>
      </c>
      <c r="AR93" s="52">
        <f t="shared" si="13"/>
        <v>0</v>
      </c>
      <c r="AS93" s="52">
        <f t="shared" si="13"/>
        <v>0</v>
      </c>
      <c r="AT93" s="52">
        <f t="shared" si="13"/>
        <v>0</v>
      </c>
      <c r="AU93" s="52">
        <f t="shared" si="13"/>
        <v>0</v>
      </c>
      <c r="AV93" s="52">
        <f t="shared" si="13"/>
        <v>0</v>
      </c>
      <c r="AW93" s="52">
        <f t="shared" si="13"/>
        <v>1</v>
      </c>
      <c r="AX93" s="52">
        <f t="shared" si="13"/>
        <v>0</v>
      </c>
    </row>
    <row r="94" spans="1:104" x14ac:dyDescent="0.2">
      <c r="B94" s="47">
        <v>5</v>
      </c>
      <c r="C94" s="52">
        <f t="shared" si="9"/>
        <v>0</v>
      </c>
      <c r="D94" s="52">
        <f t="shared" si="9"/>
        <v>0</v>
      </c>
      <c r="E94" s="52">
        <f t="shared" si="9"/>
        <v>0</v>
      </c>
      <c r="F94" s="52">
        <f t="shared" si="9"/>
        <v>0</v>
      </c>
      <c r="G94" s="52">
        <f t="shared" si="9"/>
        <v>1</v>
      </c>
      <c r="H94" s="52">
        <f t="shared" si="9"/>
        <v>0</v>
      </c>
      <c r="I94" s="52">
        <f t="shared" si="9"/>
        <v>0</v>
      </c>
      <c r="J94" s="52">
        <f t="shared" si="9"/>
        <v>0</v>
      </c>
      <c r="K94" s="52">
        <f t="shared" si="9"/>
        <v>0</v>
      </c>
      <c r="L94" s="52">
        <f t="shared" si="9"/>
        <v>1</v>
      </c>
      <c r="M94" s="52">
        <f t="shared" si="10"/>
        <v>0</v>
      </c>
      <c r="N94" s="52">
        <f t="shared" si="10"/>
        <v>0</v>
      </c>
      <c r="O94" s="52">
        <f t="shared" si="10"/>
        <v>0</v>
      </c>
      <c r="P94" s="52">
        <f t="shared" si="10"/>
        <v>1</v>
      </c>
      <c r="Q94" s="52">
        <f t="shared" si="10"/>
        <v>0</v>
      </c>
      <c r="R94" s="52">
        <f t="shared" si="10"/>
        <v>0</v>
      </c>
      <c r="S94" s="52">
        <f t="shared" si="10"/>
        <v>0</v>
      </c>
      <c r="T94" s="52">
        <f t="shared" si="10"/>
        <v>0</v>
      </c>
      <c r="U94" s="52">
        <f t="shared" si="10"/>
        <v>0</v>
      </c>
      <c r="V94" s="52">
        <f t="shared" si="10"/>
        <v>0</v>
      </c>
      <c r="W94" s="52">
        <f t="shared" si="11"/>
        <v>1</v>
      </c>
      <c r="X94" s="52">
        <f t="shared" si="11"/>
        <v>1</v>
      </c>
      <c r="Y94" s="52">
        <f t="shared" si="11"/>
        <v>0</v>
      </c>
      <c r="Z94" s="52">
        <f t="shared" si="11"/>
        <v>0</v>
      </c>
      <c r="AA94" s="52">
        <f t="shared" si="11"/>
        <v>0</v>
      </c>
      <c r="AB94" s="52">
        <f t="shared" si="11"/>
        <v>0</v>
      </c>
      <c r="AC94" s="52">
        <f t="shared" si="11"/>
        <v>0</v>
      </c>
      <c r="AD94" s="52">
        <f t="shared" si="11"/>
        <v>0</v>
      </c>
      <c r="AE94" s="52">
        <f t="shared" si="11"/>
        <v>0</v>
      </c>
      <c r="AF94" s="52">
        <f t="shared" si="11"/>
        <v>0</v>
      </c>
      <c r="AG94" s="52">
        <f t="shared" si="12"/>
        <v>0</v>
      </c>
      <c r="AH94" s="52">
        <f t="shared" si="12"/>
        <v>0</v>
      </c>
      <c r="AI94" s="52">
        <f t="shared" si="12"/>
        <v>0</v>
      </c>
      <c r="AJ94" s="52">
        <f t="shared" si="12"/>
        <v>0</v>
      </c>
      <c r="AK94" s="52">
        <f t="shared" si="12"/>
        <v>0</v>
      </c>
      <c r="AL94" s="52">
        <f t="shared" si="12"/>
        <v>0</v>
      </c>
      <c r="AM94" s="52">
        <f t="shared" si="12"/>
        <v>0</v>
      </c>
      <c r="AN94" s="52">
        <f t="shared" si="12"/>
        <v>0</v>
      </c>
      <c r="AO94" s="52">
        <f t="shared" si="12"/>
        <v>0</v>
      </c>
      <c r="AP94" s="52">
        <f t="shared" si="12"/>
        <v>1</v>
      </c>
      <c r="AQ94" s="52">
        <f t="shared" si="13"/>
        <v>1</v>
      </c>
      <c r="AR94" s="52">
        <f t="shared" si="13"/>
        <v>0</v>
      </c>
      <c r="AS94" s="52">
        <f t="shared" si="13"/>
        <v>0</v>
      </c>
      <c r="AT94" s="52">
        <f t="shared" si="13"/>
        <v>0</v>
      </c>
      <c r="AU94" s="52">
        <f t="shared" si="13"/>
        <v>0</v>
      </c>
      <c r="AV94" s="52">
        <f t="shared" si="13"/>
        <v>1</v>
      </c>
      <c r="AW94" s="52">
        <f t="shared" si="13"/>
        <v>0</v>
      </c>
      <c r="AX94" s="52">
        <f t="shared" si="13"/>
        <v>1</v>
      </c>
    </row>
    <row r="95" spans="1:104" x14ac:dyDescent="0.2">
      <c r="B95" s="47">
        <v>6</v>
      </c>
      <c r="C95" s="52">
        <f t="shared" si="9"/>
        <v>0</v>
      </c>
      <c r="D95" s="52">
        <f t="shared" si="9"/>
        <v>1</v>
      </c>
      <c r="E95" s="52">
        <f t="shared" si="9"/>
        <v>0</v>
      </c>
      <c r="F95" s="52">
        <f t="shared" si="9"/>
        <v>1</v>
      </c>
      <c r="G95" s="52">
        <f t="shared" si="9"/>
        <v>0</v>
      </c>
      <c r="H95" s="52">
        <f t="shared" si="9"/>
        <v>1</v>
      </c>
      <c r="I95" s="52">
        <f t="shared" si="9"/>
        <v>1</v>
      </c>
      <c r="J95" s="52">
        <f t="shared" si="9"/>
        <v>0</v>
      </c>
      <c r="K95" s="52">
        <f t="shared" si="9"/>
        <v>0</v>
      </c>
      <c r="L95" s="52">
        <f t="shared" si="9"/>
        <v>0</v>
      </c>
      <c r="M95" s="52">
        <f t="shared" si="10"/>
        <v>0</v>
      </c>
      <c r="N95" s="52">
        <f t="shared" si="10"/>
        <v>0</v>
      </c>
      <c r="O95" s="52">
        <f t="shared" si="10"/>
        <v>0</v>
      </c>
      <c r="P95" s="52">
        <f t="shared" si="10"/>
        <v>0</v>
      </c>
      <c r="Q95" s="52">
        <f t="shared" si="10"/>
        <v>0</v>
      </c>
      <c r="R95" s="52">
        <f t="shared" si="10"/>
        <v>0</v>
      </c>
      <c r="S95" s="52">
        <f t="shared" si="10"/>
        <v>1</v>
      </c>
      <c r="T95" s="52">
        <f t="shared" si="10"/>
        <v>1</v>
      </c>
      <c r="U95" s="52">
        <f t="shared" si="10"/>
        <v>0</v>
      </c>
      <c r="V95" s="52">
        <f t="shared" si="10"/>
        <v>0</v>
      </c>
      <c r="W95" s="52">
        <f t="shared" si="11"/>
        <v>0</v>
      </c>
      <c r="X95" s="52">
        <f t="shared" si="11"/>
        <v>0</v>
      </c>
      <c r="Y95" s="52">
        <f t="shared" si="11"/>
        <v>1</v>
      </c>
      <c r="Z95" s="52">
        <f t="shared" si="11"/>
        <v>0</v>
      </c>
      <c r="AA95" s="52">
        <f t="shared" si="11"/>
        <v>1</v>
      </c>
      <c r="AB95" s="52">
        <f t="shared" si="11"/>
        <v>0</v>
      </c>
      <c r="AC95" s="52">
        <f t="shared" si="11"/>
        <v>0</v>
      </c>
      <c r="AD95" s="52">
        <f t="shared" si="11"/>
        <v>1</v>
      </c>
      <c r="AE95" s="52">
        <f t="shared" si="11"/>
        <v>1</v>
      </c>
      <c r="AF95" s="52">
        <f t="shared" si="11"/>
        <v>0</v>
      </c>
      <c r="AG95" s="52">
        <f t="shared" si="12"/>
        <v>1</v>
      </c>
      <c r="AH95" s="52">
        <f t="shared" si="12"/>
        <v>0</v>
      </c>
      <c r="AI95" s="52">
        <f t="shared" si="12"/>
        <v>0</v>
      </c>
      <c r="AJ95" s="52">
        <f t="shared" si="12"/>
        <v>0</v>
      </c>
      <c r="AK95" s="52">
        <f t="shared" si="12"/>
        <v>0</v>
      </c>
      <c r="AL95" s="52">
        <f t="shared" si="12"/>
        <v>1</v>
      </c>
      <c r="AM95" s="52">
        <f t="shared" si="12"/>
        <v>0</v>
      </c>
      <c r="AN95" s="52">
        <f t="shared" si="12"/>
        <v>0</v>
      </c>
      <c r="AO95" s="52">
        <f t="shared" si="12"/>
        <v>0</v>
      </c>
      <c r="AP95" s="52">
        <f t="shared" si="12"/>
        <v>1</v>
      </c>
      <c r="AQ95" s="52">
        <f t="shared" si="13"/>
        <v>0</v>
      </c>
      <c r="AR95" s="52">
        <f t="shared" si="13"/>
        <v>0</v>
      </c>
      <c r="AS95" s="52">
        <f t="shared" si="13"/>
        <v>0</v>
      </c>
      <c r="AT95" s="52">
        <f t="shared" si="13"/>
        <v>0</v>
      </c>
      <c r="AU95" s="52">
        <f t="shared" si="13"/>
        <v>0</v>
      </c>
      <c r="AV95" s="52">
        <f t="shared" si="13"/>
        <v>0</v>
      </c>
      <c r="AW95" s="52">
        <f t="shared" si="13"/>
        <v>0</v>
      </c>
      <c r="AX95" s="52">
        <f t="shared" si="13"/>
        <v>0</v>
      </c>
    </row>
    <row r="96" spans="1:104" x14ac:dyDescent="0.2">
      <c r="B96" s="47">
        <v>7</v>
      </c>
      <c r="C96" s="52">
        <f t="shared" si="9"/>
        <v>0</v>
      </c>
      <c r="D96" s="52">
        <f t="shared" si="9"/>
        <v>0</v>
      </c>
      <c r="E96" s="52">
        <f t="shared" si="9"/>
        <v>0</v>
      </c>
      <c r="F96" s="52">
        <f t="shared" si="9"/>
        <v>1</v>
      </c>
      <c r="G96" s="52">
        <f t="shared" si="9"/>
        <v>0</v>
      </c>
      <c r="H96" s="52">
        <f t="shared" si="9"/>
        <v>1</v>
      </c>
      <c r="I96" s="52">
        <f t="shared" si="9"/>
        <v>1</v>
      </c>
      <c r="J96" s="52">
        <f t="shared" si="9"/>
        <v>0</v>
      </c>
      <c r="K96" s="52">
        <f t="shared" si="9"/>
        <v>0</v>
      </c>
      <c r="L96" s="52">
        <f t="shared" si="9"/>
        <v>0</v>
      </c>
      <c r="M96" s="52">
        <f t="shared" si="10"/>
        <v>0</v>
      </c>
      <c r="N96" s="52">
        <f t="shared" si="10"/>
        <v>0</v>
      </c>
      <c r="O96" s="52">
        <f t="shared" si="10"/>
        <v>0</v>
      </c>
      <c r="P96" s="52">
        <f t="shared" si="10"/>
        <v>1</v>
      </c>
      <c r="Q96" s="52">
        <f t="shared" si="10"/>
        <v>0</v>
      </c>
      <c r="R96" s="52">
        <f t="shared" si="10"/>
        <v>1</v>
      </c>
      <c r="S96" s="52">
        <f t="shared" si="10"/>
        <v>1</v>
      </c>
      <c r="T96" s="52">
        <f t="shared" si="10"/>
        <v>0</v>
      </c>
      <c r="U96" s="52">
        <f t="shared" si="10"/>
        <v>0</v>
      </c>
      <c r="V96" s="52">
        <f t="shared" si="10"/>
        <v>0</v>
      </c>
      <c r="W96" s="52">
        <f t="shared" si="11"/>
        <v>0</v>
      </c>
      <c r="X96" s="52">
        <f t="shared" si="11"/>
        <v>0</v>
      </c>
      <c r="Y96" s="52">
        <f t="shared" si="11"/>
        <v>0</v>
      </c>
      <c r="Z96" s="52">
        <f t="shared" si="11"/>
        <v>0</v>
      </c>
      <c r="AA96" s="52">
        <f t="shared" si="11"/>
        <v>1</v>
      </c>
      <c r="AB96" s="52">
        <f t="shared" si="11"/>
        <v>1</v>
      </c>
      <c r="AC96" s="52">
        <f t="shared" si="11"/>
        <v>1</v>
      </c>
      <c r="AD96" s="52">
        <f t="shared" si="11"/>
        <v>0</v>
      </c>
      <c r="AE96" s="52">
        <f t="shared" si="11"/>
        <v>0</v>
      </c>
      <c r="AF96" s="52">
        <f t="shared" si="11"/>
        <v>0</v>
      </c>
      <c r="AG96" s="52">
        <f t="shared" si="12"/>
        <v>0</v>
      </c>
      <c r="AH96" s="52">
        <f t="shared" si="12"/>
        <v>0</v>
      </c>
      <c r="AI96" s="52">
        <f t="shared" si="12"/>
        <v>0</v>
      </c>
      <c r="AJ96" s="52">
        <f t="shared" si="12"/>
        <v>0</v>
      </c>
      <c r="AK96" s="52">
        <f t="shared" si="12"/>
        <v>0</v>
      </c>
      <c r="AL96" s="52">
        <f t="shared" si="12"/>
        <v>0</v>
      </c>
      <c r="AM96" s="52">
        <f t="shared" si="12"/>
        <v>0</v>
      </c>
      <c r="AN96" s="52">
        <f t="shared" si="12"/>
        <v>0</v>
      </c>
      <c r="AO96" s="52">
        <f t="shared" si="12"/>
        <v>0</v>
      </c>
      <c r="AP96" s="52">
        <f t="shared" si="12"/>
        <v>0</v>
      </c>
      <c r="AQ96" s="52">
        <f t="shared" si="13"/>
        <v>0</v>
      </c>
      <c r="AR96" s="52">
        <f t="shared" si="13"/>
        <v>0</v>
      </c>
      <c r="AS96" s="52">
        <f t="shared" si="13"/>
        <v>0</v>
      </c>
      <c r="AT96" s="52">
        <f t="shared" si="13"/>
        <v>0</v>
      </c>
      <c r="AU96" s="52">
        <f t="shared" si="13"/>
        <v>0</v>
      </c>
      <c r="AV96" s="52">
        <f t="shared" si="13"/>
        <v>0</v>
      </c>
      <c r="AW96" s="52">
        <f t="shared" si="13"/>
        <v>0</v>
      </c>
      <c r="AX96" s="52">
        <f t="shared" si="13"/>
        <v>0</v>
      </c>
    </row>
    <row r="97" spans="2:50" x14ac:dyDescent="0.2">
      <c r="B97" s="47">
        <v>8</v>
      </c>
      <c r="C97" s="52">
        <f t="shared" si="9"/>
        <v>0</v>
      </c>
      <c r="D97" s="52">
        <f t="shared" si="9"/>
        <v>0</v>
      </c>
      <c r="E97" s="52">
        <f t="shared" si="9"/>
        <v>0</v>
      </c>
      <c r="F97" s="52">
        <f t="shared" si="9"/>
        <v>0</v>
      </c>
      <c r="G97" s="52">
        <f t="shared" si="9"/>
        <v>0</v>
      </c>
      <c r="H97" s="52">
        <f t="shared" si="9"/>
        <v>0</v>
      </c>
      <c r="I97" s="52">
        <f t="shared" si="9"/>
        <v>0</v>
      </c>
      <c r="J97" s="52">
        <f t="shared" si="9"/>
        <v>1</v>
      </c>
      <c r="K97" s="52">
        <f t="shared" si="9"/>
        <v>0</v>
      </c>
      <c r="L97" s="52">
        <f t="shared" si="9"/>
        <v>0</v>
      </c>
      <c r="M97" s="52">
        <f t="shared" si="10"/>
        <v>0</v>
      </c>
      <c r="N97" s="52">
        <f t="shared" si="10"/>
        <v>0</v>
      </c>
      <c r="O97" s="52">
        <f t="shared" si="10"/>
        <v>0</v>
      </c>
      <c r="P97" s="52">
        <f t="shared" si="10"/>
        <v>0</v>
      </c>
      <c r="Q97" s="52">
        <f t="shared" si="10"/>
        <v>0</v>
      </c>
      <c r="R97" s="52">
        <f t="shared" si="10"/>
        <v>1</v>
      </c>
      <c r="S97" s="52">
        <f t="shared" si="10"/>
        <v>0</v>
      </c>
      <c r="T97" s="52">
        <f t="shared" si="10"/>
        <v>0</v>
      </c>
      <c r="U97" s="52">
        <f t="shared" si="10"/>
        <v>0</v>
      </c>
      <c r="V97" s="52">
        <f t="shared" si="10"/>
        <v>0</v>
      </c>
      <c r="W97" s="52">
        <f t="shared" si="11"/>
        <v>1</v>
      </c>
      <c r="X97" s="52">
        <f t="shared" si="11"/>
        <v>0</v>
      </c>
      <c r="Y97" s="52">
        <f t="shared" si="11"/>
        <v>0</v>
      </c>
      <c r="Z97" s="52">
        <f t="shared" si="11"/>
        <v>0</v>
      </c>
      <c r="AA97" s="52">
        <f t="shared" si="11"/>
        <v>0</v>
      </c>
      <c r="AB97" s="52">
        <f t="shared" si="11"/>
        <v>1</v>
      </c>
      <c r="AC97" s="52">
        <f t="shared" si="11"/>
        <v>0</v>
      </c>
      <c r="AD97" s="52">
        <f t="shared" si="11"/>
        <v>0</v>
      </c>
      <c r="AE97" s="52">
        <f t="shared" si="11"/>
        <v>0</v>
      </c>
      <c r="AF97" s="52">
        <f t="shared" si="11"/>
        <v>0</v>
      </c>
      <c r="AG97" s="52">
        <f t="shared" si="12"/>
        <v>0</v>
      </c>
      <c r="AH97" s="52">
        <f t="shared" si="12"/>
        <v>0</v>
      </c>
      <c r="AI97" s="52">
        <f t="shared" si="12"/>
        <v>0</v>
      </c>
      <c r="AJ97" s="52">
        <f t="shared" si="12"/>
        <v>0</v>
      </c>
      <c r="AK97" s="52">
        <f t="shared" si="12"/>
        <v>1</v>
      </c>
      <c r="AL97" s="52">
        <f t="shared" si="12"/>
        <v>0</v>
      </c>
      <c r="AM97" s="52">
        <f t="shared" si="12"/>
        <v>1</v>
      </c>
      <c r="AN97" s="52">
        <f t="shared" si="12"/>
        <v>0</v>
      </c>
      <c r="AO97" s="52">
        <f t="shared" si="12"/>
        <v>0</v>
      </c>
      <c r="AP97" s="52">
        <f t="shared" si="12"/>
        <v>0</v>
      </c>
      <c r="AQ97" s="52">
        <f t="shared" si="13"/>
        <v>1</v>
      </c>
      <c r="AR97" s="52">
        <f t="shared" si="13"/>
        <v>0</v>
      </c>
      <c r="AS97" s="52">
        <f t="shared" si="13"/>
        <v>0</v>
      </c>
      <c r="AT97" s="52">
        <f t="shared" si="13"/>
        <v>1</v>
      </c>
      <c r="AU97" s="52">
        <f t="shared" si="13"/>
        <v>0</v>
      </c>
      <c r="AV97" s="52">
        <f t="shared" si="13"/>
        <v>0</v>
      </c>
      <c r="AW97" s="52">
        <f t="shared" si="13"/>
        <v>0</v>
      </c>
      <c r="AX97" s="52">
        <f t="shared" si="13"/>
        <v>0</v>
      </c>
    </row>
    <row r="98" spans="2:50" x14ac:dyDescent="0.2">
      <c r="B98" s="47">
        <v>9</v>
      </c>
      <c r="C98" s="52">
        <f t="shared" si="9"/>
        <v>1</v>
      </c>
      <c r="D98" s="52">
        <f t="shared" si="9"/>
        <v>0</v>
      </c>
      <c r="E98" s="52">
        <f t="shared" si="9"/>
        <v>1</v>
      </c>
      <c r="F98" s="52">
        <f t="shared" si="9"/>
        <v>0</v>
      </c>
      <c r="G98" s="52">
        <f t="shared" si="9"/>
        <v>0</v>
      </c>
      <c r="H98" s="52">
        <f t="shared" si="9"/>
        <v>0</v>
      </c>
      <c r="I98" s="52">
        <f t="shared" si="9"/>
        <v>0</v>
      </c>
      <c r="J98" s="52">
        <f t="shared" si="9"/>
        <v>0</v>
      </c>
      <c r="K98" s="52">
        <f t="shared" si="9"/>
        <v>1</v>
      </c>
      <c r="L98" s="52">
        <f t="shared" si="9"/>
        <v>0</v>
      </c>
      <c r="M98" s="52">
        <f t="shared" si="10"/>
        <v>0</v>
      </c>
      <c r="N98" s="52">
        <f t="shared" si="10"/>
        <v>0</v>
      </c>
      <c r="O98" s="52">
        <f t="shared" si="10"/>
        <v>1</v>
      </c>
      <c r="P98" s="52">
        <f t="shared" si="10"/>
        <v>0</v>
      </c>
      <c r="Q98" s="52">
        <f t="shared" si="10"/>
        <v>1</v>
      </c>
      <c r="R98" s="52">
        <f t="shared" si="10"/>
        <v>1</v>
      </c>
      <c r="S98" s="52">
        <f t="shared" si="10"/>
        <v>0</v>
      </c>
      <c r="T98" s="52">
        <f t="shared" si="10"/>
        <v>0</v>
      </c>
      <c r="U98" s="52">
        <f t="shared" si="10"/>
        <v>0</v>
      </c>
      <c r="V98" s="52">
        <f t="shared" si="10"/>
        <v>1</v>
      </c>
      <c r="W98" s="52">
        <f t="shared" si="11"/>
        <v>1</v>
      </c>
      <c r="X98" s="52">
        <f t="shared" si="11"/>
        <v>0</v>
      </c>
      <c r="Y98" s="52">
        <f t="shared" si="11"/>
        <v>1</v>
      </c>
      <c r="Z98" s="52">
        <f t="shared" si="11"/>
        <v>0</v>
      </c>
      <c r="AA98" s="52">
        <f t="shared" si="11"/>
        <v>0</v>
      </c>
      <c r="AB98" s="52">
        <f t="shared" si="11"/>
        <v>1</v>
      </c>
      <c r="AC98" s="52">
        <f t="shared" si="11"/>
        <v>1</v>
      </c>
      <c r="AD98" s="52">
        <f t="shared" si="11"/>
        <v>1</v>
      </c>
      <c r="AE98" s="52">
        <f t="shared" si="11"/>
        <v>0</v>
      </c>
      <c r="AF98" s="52">
        <f t="shared" si="11"/>
        <v>0</v>
      </c>
      <c r="AG98" s="52">
        <f t="shared" si="12"/>
        <v>1</v>
      </c>
      <c r="AH98" s="52">
        <f t="shared" si="12"/>
        <v>1</v>
      </c>
      <c r="AI98" s="52">
        <f t="shared" si="12"/>
        <v>0</v>
      </c>
      <c r="AJ98" s="52">
        <f t="shared" si="12"/>
        <v>1</v>
      </c>
      <c r="AK98" s="52">
        <f t="shared" si="12"/>
        <v>1</v>
      </c>
      <c r="AL98" s="52">
        <f t="shared" si="12"/>
        <v>0</v>
      </c>
      <c r="AM98" s="52">
        <f t="shared" si="12"/>
        <v>1</v>
      </c>
      <c r="AN98" s="52">
        <f t="shared" si="12"/>
        <v>1</v>
      </c>
      <c r="AO98" s="52">
        <f t="shared" si="12"/>
        <v>0</v>
      </c>
      <c r="AP98" s="52">
        <f t="shared" si="12"/>
        <v>0</v>
      </c>
      <c r="AQ98" s="52">
        <f t="shared" si="13"/>
        <v>0</v>
      </c>
      <c r="AR98" s="52">
        <f t="shared" si="13"/>
        <v>1</v>
      </c>
      <c r="AS98" s="52">
        <f t="shared" si="13"/>
        <v>0</v>
      </c>
      <c r="AT98" s="52">
        <f t="shared" si="13"/>
        <v>0</v>
      </c>
      <c r="AU98" s="52">
        <f t="shared" si="13"/>
        <v>1</v>
      </c>
      <c r="AV98" s="52">
        <f t="shared" si="13"/>
        <v>1</v>
      </c>
      <c r="AW98" s="52">
        <f t="shared" si="13"/>
        <v>0</v>
      </c>
      <c r="AX98" s="52">
        <f t="shared" si="13"/>
        <v>1</v>
      </c>
    </row>
    <row r="99" spans="2:50" x14ac:dyDescent="0.2">
      <c r="B99" s="47">
        <v>10</v>
      </c>
      <c r="C99" s="52">
        <f t="shared" si="9"/>
        <v>0</v>
      </c>
      <c r="D99" s="52">
        <f t="shared" si="9"/>
        <v>0</v>
      </c>
      <c r="E99" s="52">
        <f t="shared" si="9"/>
        <v>0</v>
      </c>
      <c r="F99" s="52">
        <f t="shared" si="9"/>
        <v>0</v>
      </c>
      <c r="G99" s="52">
        <f t="shared" si="9"/>
        <v>1</v>
      </c>
      <c r="H99" s="52">
        <f t="shared" si="9"/>
        <v>0</v>
      </c>
      <c r="I99" s="52">
        <f t="shared" si="9"/>
        <v>0</v>
      </c>
      <c r="J99" s="52">
        <f t="shared" si="9"/>
        <v>0</v>
      </c>
      <c r="K99" s="52">
        <f t="shared" si="9"/>
        <v>0</v>
      </c>
      <c r="L99" s="52">
        <f t="shared" si="9"/>
        <v>1</v>
      </c>
      <c r="M99" s="52">
        <f t="shared" si="10"/>
        <v>0</v>
      </c>
      <c r="N99" s="52">
        <f t="shared" si="10"/>
        <v>0</v>
      </c>
      <c r="O99" s="52">
        <f t="shared" si="10"/>
        <v>0</v>
      </c>
      <c r="P99" s="52">
        <f t="shared" si="10"/>
        <v>0</v>
      </c>
      <c r="Q99" s="52">
        <f t="shared" si="10"/>
        <v>0</v>
      </c>
      <c r="R99" s="52">
        <f t="shared" si="10"/>
        <v>0</v>
      </c>
      <c r="S99" s="52">
        <f t="shared" si="10"/>
        <v>0</v>
      </c>
      <c r="T99" s="52">
        <f t="shared" si="10"/>
        <v>0</v>
      </c>
      <c r="U99" s="52">
        <f t="shared" si="10"/>
        <v>0</v>
      </c>
      <c r="V99" s="52">
        <f t="shared" si="10"/>
        <v>0</v>
      </c>
      <c r="W99" s="52">
        <f t="shared" si="11"/>
        <v>1</v>
      </c>
      <c r="X99" s="52">
        <f t="shared" si="11"/>
        <v>0</v>
      </c>
      <c r="Y99" s="52">
        <f t="shared" si="11"/>
        <v>1</v>
      </c>
      <c r="Z99" s="52">
        <f t="shared" si="11"/>
        <v>1</v>
      </c>
      <c r="AA99" s="52">
        <f t="shared" si="11"/>
        <v>0</v>
      </c>
      <c r="AB99" s="52">
        <f t="shared" si="11"/>
        <v>1</v>
      </c>
      <c r="AC99" s="52">
        <f t="shared" si="11"/>
        <v>0</v>
      </c>
      <c r="AD99" s="52">
        <f t="shared" si="11"/>
        <v>0</v>
      </c>
      <c r="AE99" s="52">
        <f t="shared" si="11"/>
        <v>1</v>
      </c>
      <c r="AF99" s="52">
        <f t="shared" si="11"/>
        <v>0</v>
      </c>
      <c r="AG99" s="52">
        <f t="shared" si="12"/>
        <v>1</v>
      </c>
      <c r="AH99" s="52">
        <f t="shared" si="12"/>
        <v>0</v>
      </c>
      <c r="AI99" s="52">
        <f t="shared" si="12"/>
        <v>0</v>
      </c>
      <c r="AJ99" s="52">
        <f t="shared" si="12"/>
        <v>0</v>
      </c>
      <c r="AK99" s="52">
        <f t="shared" si="12"/>
        <v>1</v>
      </c>
      <c r="AL99" s="52">
        <f t="shared" si="12"/>
        <v>1</v>
      </c>
      <c r="AM99" s="52">
        <f t="shared" si="12"/>
        <v>0</v>
      </c>
      <c r="AN99" s="52">
        <f t="shared" si="12"/>
        <v>0</v>
      </c>
      <c r="AO99" s="52">
        <f t="shared" si="12"/>
        <v>0</v>
      </c>
      <c r="AP99" s="52">
        <f t="shared" si="12"/>
        <v>0</v>
      </c>
      <c r="AQ99" s="52">
        <f t="shared" si="13"/>
        <v>1</v>
      </c>
      <c r="AR99" s="52">
        <f t="shared" si="13"/>
        <v>1</v>
      </c>
      <c r="AS99" s="52">
        <f t="shared" si="13"/>
        <v>0</v>
      </c>
      <c r="AT99" s="52">
        <f t="shared" si="13"/>
        <v>0</v>
      </c>
      <c r="AU99" s="52">
        <f t="shared" si="13"/>
        <v>1</v>
      </c>
      <c r="AV99" s="52">
        <f t="shared" si="13"/>
        <v>0</v>
      </c>
      <c r="AW99" s="52">
        <f t="shared" si="13"/>
        <v>1</v>
      </c>
      <c r="AX99" s="52">
        <f t="shared" si="13"/>
        <v>0</v>
      </c>
    </row>
    <row r="100" spans="2:50" x14ac:dyDescent="0.2">
      <c r="B100" s="47">
        <v>11</v>
      </c>
      <c r="C100" s="52">
        <f t="shared" ref="C100:L109" si="14">eventClash(C$89,$B100, eventStudent)</f>
        <v>0</v>
      </c>
      <c r="D100" s="52">
        <f t="shared" si="14"/>
        <v>0</v>
      </c>
      <c r="E100" s="52">
        <f t="shared" si="14"/>
        <v>1</v>
      </c>
      <c r="F100" s="52">
        <f t="shared" si="14"/>
        <v>0</v>
      </c>
      <c r="G100" s="52">
        <f t="shared" si="14"/>
        <v>0</v>
      </c>
      <c r="H100" s="52">
        <f t="shared" si="14"/>
        <v>0</v>
      </c>
      <c r="I100" s="52">
        <f t="shared" si="14"/>
        <v>0</v>
      </c>
      <c r="J100" s="52">
        <f t="shared" si="14"/>
        <v>0</v>
      </c>
      <c r="K100" s="52">
        <f t="shared" si="14"/>
        <v>0</v>
      </c>
      <c r="L100" s="52">
        <f t="shared" si="14"/>
        <v>0</v>
      </c>
      <c r="M100" s="52">
        <f t="shared" ref="M100:V109" si="15">eventClash(M$89,$B100, eventStudent)</f>
        <v>1</v>
      </c>
      <c r="N100" s="52">
        <f t="shared" si="15"/>
        <v>0</v>
      </c>
      <c r="O100" s="52">
        <f t="shared" si="15"/>
        <v>1</v>
      </c>
      <c r="P100" s="52">
        <f t="shared" si="15"/>
        <v>0</v>
      </c>
      <c r="Q100" s="52">
        <f t="shared" si="15"/>
        <v>0</v>
      </c>
      <c r="R100" s="52">
        <f t="shared" si="15"/>
        <v>0</v>
      </c>
      <c r="S100" s="52">
        <f t="shared" si="15"/>
        <v>0</v>
      </c>
      <c r="T100" s="52">
        <f t="shared" si="15"/>
        <v>0</v>
      </c>
      <c r="U100" s="52">
        <f t="shared" si="15"/>
        <v>1</v>
      </c>
      <c r="V100" s="52">
        <f t="shared" si="15"/>
        <v>0</v>
      </c>
      <c r="W100" s="52">
        <f t="shared" ref="W100:AF109" si="16">eventClash(W$89,$B100, eventStudent)</f>
        <v>0</v>
      </c>
      <c r="X100" s="52">
        <f t="shared" si="16"/>
        <v>1</v>
      </c>
      <c r="Y100" s="52">
        <f t="shared" si="16"/>
        <v>0</v>
      </c>
      <c r="Z100" s="52">
        <f t="shared" si="16"/>
        <v>1</v>
      </c>
      <c r="AA100" s="52">
        <f t="shared" si="16"/>
        <v>0</v>
      </c>
      <c r="AB100" s="52">
        <f t="shared" si="16"/>
        <v>0</v>
      </c>
      <c r="AC100" s="52">
        <f t="shared" si="16"/>
        <v>0</v>
      </c>
      <c r="AD100" s="52">
        <f t="shared" si="16"/>
        <v>0</v>
      </c>
      <c r="AE100" s="52">
        <f t="shared" si="16"/>
        <v>0</v>
      </c>
      <c r="AF100" s="52">
        <f t="shared" si="16"/>
        <v>0</v>
      </c>
      <c r="AG100" s="52">
        <f t="shared" ref="AG100:AP109" si="17">eventClash(AG$89,$B100, eventStudent)</f>
        <v>0</v>
      </c>
      <c r="AH100" s="52">
        <f t="shared" si="17"/>
        <v>0</v>
      </c>
      <c r="AI100" s="52">
        <f t="shared" si="17"/>
        <v>0</v>
      </c>
      <c r="AJ100" s="52">
        <f t="shared" si="17"/>
        <v>0</v>
      </c>
      <c r="AK100" s="52">
        <f t="shared" si="17"/>
        <v>0</v>
      </c>
      <c r="AL100" s="52">
        <f t="shared" si="17"/>
        <v>0</v>
      </c>
      <c r="AM100" s="52">
        <f t="shared" si="17"/>
        <v>0</v>
      </c>
      <c r="AN100" s="52">
        <f t="shared" si="17"/>
        <v>0</v>
      </c>
      <c r="AO100" s="52">
        <f t="shared" si="17"/>
        <v>0</v>
      </c>
      <c r="AP100" s="52">
        <f t="shared" si="17"/>
        <v>1</v>
      </c>
      <c r="AQ100" s="52">
        <f t="shared" ref="AQ100:AX109" si="18">eventClash(AQ$89,$B100, eventStudent)</f>
        <v>0</v>
      </c>
      <c r="AR100" s="52">
        <f t="shared" si="18"/>
        <v>0</v>
      </c>
      <c r="AS100" s="52">
        <f t="shared" si="18"/>
        <v>0</v>
      </c>
      <c r="AT100" s="52">
        <f t="shared" si="18"/>
        <v>0</v>
      </c>
      <c r="AU100" s="52">
        <f t="shared" si="18"/>
        <v>1</v>
      </c>
      <c r="AV100" s="52">
        <f t="shared" si="18"/>
        <v>0</v>
      </c>
      <c r="AW100" s="52">
        <f t="shared" si="18"/>
        <v>0</v>
      </c>
      <c r="AX100" s="52">
        <f t="shared" si="18"/>
        <v>1</v>
      </c>
    </row>
    <row r="101" spans="2:50" x14ac:dyDescent="0.2">
      <c r="B101" s="47">
        <v>12</v>
      </c>
      <c r="C101" s="52">
        <f t="shared" si="14"/>
        <v>0</v>
      </c>
      <c r="D101" s="52">
        <f t="shared" si="14"/>
        <v>0</v>
      </c>
      <c r="E101" s="52">
        <f t="shared" si="14"/>
        <v>0</v>
      </c>
      <c r="F101" s="52">
        <f t="shared" si="14"/>
        <v>0</v>
      </c>
      <c r="G101" s="52">
        <f t="shared" si="14"/>
        <v>0</v>
      </c>
      <c r="H101" s="52">
        <f t="shared" si="14"/>
        <v>0</v>
      </c>
      <c r="I101" s="52">
        <f t="shared" si="14"/>
        <v>0</v>
      </c>
      <c r="J101" s="52">
        <f t="shared" si="14"/>
        <v>0</v>
      </c>
      <c r="K101" s="52">
        <f t="shared" si="14"/>
        <v>0</v>
      </c>
      <c r="L101" s="52">
        <f t="shared" si="14"/>
        <v>0</v>
      </c>
      <c r="M101" s="52">
        <f t="shared" si="15"/>
        <v>0</v>
      </c>
      <c r="N101" s="52">
        <f t="shared" si="15"/>
        <v>1</v>
      </c>
      <c r="O101" s="52">
        <f t="shared" si="15"/>
        <v>0</v>
      </c>
      <c r="P101" s="52">
        <f t="shared" si="15"/>
        <v>0</v>
      </c>
      <c r="Q101" s="52">
        <f t="shared" si="15"/>
        <v>0</v>
      </c>
      <c r="R101" s="52">
        <f t="shared" si="15"/>
        <v>0</v>
      </c>
      <c r="S101" s="52">
        <f t="shared" si="15"/>
        <v>0</v>
      </c>
      <c r="T101" s="52">
        <f t="shared" si="15"/>
        <v>0</v>
      </c>
      <c r="U101" s="52">
        <f t="shared" si="15"/>
        <v>0</v>
      </c>
      <c r="V101" s="52">
        <f t="shared" si="15"/>
        <v>0</v>
      </c>
      <c r="W101" s="52">
        <f t="shared" si="16"/>
        <v>0</v>
      </c>
      <c r="X101" s="52">
        <f t="shared" si="16"/>
        <v>0</v>
      </c>
      <c r="Y101" s="52">
        <f t="shared" si="16"/>
        <v>0</v>
      </c>
      <c r="Z101" s="52">
        <f t="shared" si="16"/>
        <v>0</v>
      </c>
      <c r="AA101" s="52">
        <f t="shared" si="16"/>
        <v>0</v>
      </c>
      <c r="AB101" s="52">
        <f t="shared" si="16"/>
        <v>0</v>
      </c>
      <c r="AC101" s="52">
        <f t="shared" si="16"/>
        <v>0</v>
      </c>
      <c r="AD101" s="52">
        <f t="shared" si="16"/>
        <v>0</v>
      </c>
      <c r="AE101" s="52">
        <f t="shared" si="16"/>
        <v>0</v>
      </c>
      <c r="AF101" s="52">
        <f t="shared" si="16"/>
        <v>0</v>
      </c>
      <c r="AG101" s="52">
        <f t="shared" si="17"/>
        <v>0</v>
      </c>
      <c r="AH101" s="52">
        <f t="shared" si="17"/>
        <v>0</v>
      </c>
      <c r="AI101" s="52">
        <f t="shared" si="17"/>
        <v>0</v>
      </c>
      <c r="AJ101" s="52">
        <f t="shared" si="17"/>
        <v>0</v>
      </c>
      <c r="AK101" s="52">
        <f t="shared" si="17"/>
        <v>0</v>
      </c>
      <c r="AL101" s="52">
        <f t="shared" si="17"/>
        <v>0</v>
      </c>
      <c r="AM101" s="52">
        <f t="shared" si="17"/>
        <v>1</v>
      </c>
      <c r="AN101" s="52">
        <f t="shared" si="17"/>
        <v>0</v>
      </c>
      <c r="AO101" s="52">
        <f t="shared" si="17"/>
        <v>1</v>
      </c>
      <c r="AP101" s="52">
        <f t="shared" si="17"/>
        <v>0</v>
      </c>
      <c r="AQ101" s="52">
        <f t="shared" si="18"/>
        <v>1</v>
      </c>
      <c r="AR101" s="52">
        <f t="shared" si="18"/>
        <v>0</v>
      </c>
      <c r="AS101" s="52">
        <f t="shared" si="18"/>
        <v>0</v>
      </c>
      <c r="AT101" s="52">
        <f t="shared" si="18"/>
        <v>1</v>
      </c>
      <c r="AU101" s="52">
        <f t="shared" si="18"/>
        <v>0</v>
      </c>
      <c r="AV101" s="52">
        <f t="shared" si="18"/>
        <v>0</v>
      </c>
      <c r="AW101" s="52">
        <f t="shared" si="18"/>
        <v>0</v>
      </c>
      <c r="AX101" s="52">
        <f t="shared" si="18"/>
        <v>0</v>
      </c>
    </row>
    <row r="102" spans="2:50" x14ac:dyDescent="0.2">
      <c r="B102" s="47">
        <v>13</v>
      </c>
      <c r="C102" s="52">
        <f t="shared" si="14"/>
        <v>0</v>
      </c>
      <c r="D102" s="52">
        <f t="shared" si="14"/>
        <v>1</v>
      </c>
      <c r="E102" s="52">
        <f t="shared" si="14"/>
        <v>1</v>
      </c>
      <c r="F102" s="52">
        <f t="shared" si="14"/>
        <v>0</v>
      </c>
      <c r="G102" s="52">
        <f t="shared" si="14"/>
        <v>0</v>
      </c>
      <c r="H102" s="52">
        <f t="shared" si="14"/>
        <v>0</v>
      </c>
      <c r="I102" s="52">
        <f t="shared" si="14"/>
        <v>0</v>
      </c>
      <c r="J102" s="52">
        <f t="shared" si="14"/>
        <v>0</v>
      </c>
      <c r="K102" s="52">
        <f t="shared" si="14"/>
        <v>1</v>
      </c>
      <c r="L102" s="52">
        <f t="shared" si="14"/>
        <v>0</v>
      </c>
      <c r="M102" s="52">
        <f t="shared" si="15"/>
        <v>1</v>
      </c>
      <c r="N102" s="52">
        <f t="shared" si="15"/>
        <v>0</v>
      </c>
      <c r="O102" s="52">
        <f t="shared" si="15"/>
        <v>1</v>
      </c>
      <c r="P102" s="52">
        <f t="shared" si="15"/>
        <v>0</v>
      </c>
      <c r="Q102" s="52">
        <f t="shared" si="15"/>
        <v>0</v>
      </c>
      <c r="R102" s="52">
        <f t="shared" si="15"/>
        <v>0</v>
      </c>
      <c r="S102" s="52">
        <f t="shared" si="15"/>
        <v>1</v>
      </c>
      <c r="T102" s="52">
        <f t="shared" si="15"/>
        <v>0</v>
      </c>
      <c r="U102" s="52">
        <f t="shared" si="15"/>
        <v>1</v>
      </c>
      <c r="V102" s="52">
        <f t="shared" si="15"/>
        <v>1</v>
      </c>
      <c r="W102" s="52">
        <f t="shared" si="16"/>
        <v>1</v>
      </c>
      <c r="X102" s="52">
        <f t="shared" si="16"/>
        <v>1</v>
      </c>
      <c r="Y102" s="52">
        <f t="shared" si="16"/>
        <v>1</v>
      </c>
      <c r="Z102" s="52">
        <f t="shared" si="16"/>
        <v>1</v>
      </c>
      <c r="AA102" s="52">
        <f t="shared" si="16"/>
        <v>0</v>
      </c>
      <c r="AB102" s="52">
        <f t="shared" si="16"/>
        <v>0</v>
      </c>
      <c r="AC102" s="52">
        <f t="shared" si="16"/>
        <v>0</v>
      </c>
      <c r="AD102" s="52">
        <f t="shared" si="16"/>
        <v>0</v>
      </c>
      <c r="AE102" s="52">
        <f t="shared" si="16"/>
        <v>0</v>
      </c>
      <c r="AF102" s="52">
        <f t="shared" si="16"/>
        <v>1</v>
      </c>
      <c r="AG102" s="52">
        <f t="shared" si="17"/>
        <v>0</v>
      </c>
      <c r="AH102" s="52">
        <f t="shared" si="17"/>
        <v>0</v>
      </c>
      <c r="AI102" s="52">
        <f t="shared" si="17"/>
        <v>1</v>
      </c>
      <c r="AJ102" s="52">
        <f t="shared" si="17"/>
        <v>0</v>
      </c>
      <c r="AK102" s="52">
        <f t="shared" si="17"/>
        <v>0</v>
      </c>
      <c r="AL102" s="52">
        <f t="shared" si="17"/>
        <v>0</v>
      </c>
      <c r="AM102" s="52">
        <f t="shared" si="17"/>
        <v>0</v>
      </c>
      <c r="AN102" s="52">
        <f t="shared" si="17"/>
        <v>0</v>
      </c>
      <c r="AO102" s="52">
        <f t="shared" si="17"/>
        <v>0</v>
      </c>
      <c r="AP102" s="52">
        <f t="shared" si="17"/>
        <v>0</v>
      </c>
      <c r="AQ102" s="52">
        <f t="shared" si="18"/>
        <v>0</v>
      </c>
      <c r="AR102" s="52">
        <f t="shared" si="18"/>
        <v>1</v>
      </c>
      <c r="AS102" s="52">
        <f t="shared" si="18"/>
        <v>0</v>
      </c>
      <c r="AT102" s="52">
        <f t="shared" si="18"/>
        <v>0</v>
      </c>
      <c r="AU102" s="52">
        <f t="shared" si="18"/>
        <v>0</v>
      </c>
      <c r="AV102" s="52">
        <f t="shared" si="18"/>
        <v>1</v>
      </c>
      <c r="AW102" s="52">
        <f t="shared" si="18"/>
        <v>1</v>
      </c>
      <c r="AX102" s="52">
        <f t="shared" si="18"/>
        <v>1</v>
      </c>
    </row>
    <row r="103" spans="2:50" x14ac:dyDescent="0.2">
      <c r="B103" s="47">
        <v>14</v>
      </c>
      <c r="C103" s="52">
        <f t="shared" si="14"/>
        <v>1</v>
      </c>
      <c r="D103" s="52">
        <f t="shared" si="14"/>
        <v>0</v>
      </c>
      <c r="E103" s="52">
        <f t="shared" si="14"/>
        <v>1</v>
      </c>
      <c r="F103" s="52">
        <f t="shared" si="14"/>
        <v>0</v>
      </c>
      <c r="G103" s="52">
        <f t="shared" si="14"/>
        <v>1</v>
      </c>
      <c r="H103" s="52">
        <f t="shared" si="14"/>
        <v>0</v>
      </c>
      <c r="I103" s="52">
        <f t="shared" si="14"/>
        <v>1</v>
      </c>
      <c r="J103" s="52">
        <f t="shared" si="14"/>
        <v>0</v>
      </c>
      <c r="K103" s="52">
        <f t="shared" si="14"/>
        <v>0</v>
      </c>
      <c r="L103" s="52">
        <f t="shared" si="14"/>
        <v>0</v>
      </c>
      <c r="M103" s="52">
        <f t="shared" si="15"/>
        <v>0</v>
      </c>
      <c r="N103" s="52">
        <f t="shared" si="15"/>
        <v>0</v>
      </c>
      <c r="O103" s="52">
        <f t="shared" si="15"/>
        <v>0</v>
      </c>
      <c r="P103" s="52">
        <f t="shared" si="15"/>
        <v>1</v>
      </c>
      <c r="Q103" s="52">
        <f t="shared" si="15"/>
        <v>0</v>
      </c>
      <c r="R103" s="52">
        <f t="shared" si="15"/>
        <v>1</v>
      </c>
      <c r="S103" s="52">
        <f t="shared" si="15"/>
        <v>0</v>
      </c>
      <c r="T103" s="52">
        <f t="shared" si="15"/>
        <v>0</v>
      </c>
      <c r="U103" s="52">
        <f t="shared" si="15"/>
        <v>0</v>
      </c>
      <c r="V103" s="52">
        <f t="shared" si="15"/>
        <v>0</v>
      </c>
      <c r="W103" s="52">
        <f t="shared" si="16"/>
        <v>0</v>
      </c>
      <c r="X103" s="52">
        <f t="shared" si="16"/>
        <v>0</v>
      </c>
      <c r="Y103" s="52">
        <f t="shared" si="16"/>
        <v>0</v>
      </c>
      <c r="Z103" s="52">
        <f t="shared" si="16"/>
        <v>0</v>
      </c>
      <c r="AA103" s="52">
        <f t="shared" si="16"/>
        <v>0</v>
      </c>
      <c r="AB103" s="52">
        <f t="shared" si="16"/>
        <v>1</v>
      </c>
      <c r="AC103" s="52">
        <f t="shared" si="16"/>
        <v>1</v>
      </c>
      <c r="AD103" s="52">
        <f t="shared" si="16"/>
        <v>0</v>
      </c>
      <c r="AE103" s="52">
        <f t="shared" si="16"/>
        <v>0</v>
      </c>
      <c r="AF103" s="52">
        <f t="shared" si="16"/>
        <v>0</v>
      </c>
      <c r="AG103" s="52">
        <f t="shared" si="17"/>
        <v>0</v>
      </c>
      <c r="AH103" s="52">
        <f t="shared" si="17"/>
        <v>1</v>
      </c>
      <c r="AI103" s="52">
        <f t="shared" si="17"/>
        <v>0</v>
      </c>
      <c r="AJ103" s="52">
        <f t="shared" si="17"/>
        <v>0</v>
      </c>
      <c r="AK103" s="52">
        <f t="shared" si="17"/>
        <v>0</v>
      </c>
      <c r="AL103" s="52">
        <f t="shared" si="17"/>
        <v>0</v>
      </c>
      <c r="AM103" s="52">
        <f t="shared" si="17"/>
        <v>0</v>
      </c>
      <c r="AN103" s="52">
        <f t="shared" si="17"/>
        <v>1</v>
      </c>
      <c r="AO103" s="52">
        <f t="shared" si="17"/>
        <v>0</v>
      </c>
      <c r="AP103" s="52">
        <f t="shared" si="17"/>
        <v>1</v>
      </c>
      <c r="AQ103" s="52">
        <f t="shared" si="18"/>
        <v>0</v>
      </c>
      <c r="AR103" s="52">
        <f t="shared" si="18"/>
        <v>0</v>
      </c>
      <c r="AS103" s="52">
        <f t="shared" si="18"/>
        <v>0</v>
      </c>
      <c r="AT103" s="52">
        <f t="shared" si="18"/>
        <v>0</v>
      </c>
      <c r="AU103" s="52">
        <f t="shared" si="18"/>
        <v>0</v>
      </c>
      <c r="AV103" s="52">
        <f t="shared" si="18"/>
        <v>1</v>
      </c>
      <c r="AW103" s="52">
        <f t="shared" si="18"/>
        <v>1</v>
      </c>
      <c r="AX103" s="52">
        <f t="shared" si="18"/>
        <v>0</v>
      </c>
    </row>
    <row r="104" spans="2:50" x14ac:dyDescent="0.2">
      <c r="B104" s="47">
        <v>15</v>
      </c>
      <c r="C104" s="52">
        <f t="shared" si="14"/>
        <v>0</v>
      </c>
      <c r="D104" s="52">
        <f t="shared" si="14"/>
        <v>0</v>
      </c>
      <c r="E104" s="52">
        <f t="shared" si="14"/>
        <v>0</v>
      </c>
      <c r="F104" s="52">
        <f t="shared" si="14"/>
        <v>0</v>
      </c>
      <c r="G104" s="52">
        <f t="shared" si="14"/>
        <v>0</v>
      </c>
      <c r="H104" s="52">
        <f t="shared" si="14"/>
        <v>0</v>
      </c>
      <c r="I104" s="52">
        <f t="shared" si="14"/>
        <v>0</v>
      </c>
      <c r="J104" s="52">
        <f t="shared" si="14"/>
        <v>0</v>
      </c>
      <c r="K104" s="52">
        <f t="shared" si="14"/>
        <v>1</v>
      </c>
      <c r="L104" s="52">
        <f t="shared" si="14"/>
        <v>0</v>
      </c>
      <c r="M104" s="52">
        <f t="shared" si="15"/>
        <v>0</v>
      </c>
      <c r="N104" s="52">
        <f t="shared" si="15"/>
        <v>0</v>
      </c>
      <c r="O104" s="52">
        <f t="shared" si="15"/>
        <v>0</v>
      </c>
      <c r="P104" s="52">
        <f t="shared" si="15"/>
        <v>0</v>
      </c>
      <c r="Q104" s="52">
        <f t="shared" si="15"/>
        <v>1</v>
      </c>
      <c r="R104" s="52">
        <f t="shared" si="15"/>
        <v>0</v>
      </c>
      <c r="S104" s="52">
        <f t="shared" si="15"/>
        <v>1</v>
      </c>
      <c r="T104" s="52">
        <f t="shared" si="15"/>
        <v>0</v>
      </c>
      <c r="U104" s="52">
        <f t="shared" si="15"/>
        <v>0</v>
      </c>
      <c r="V104" s="52">
        <f t="shared" si="15"/>
        <v>0</v>
      </c>
      <c r="W104" s="52">
        <f t="shared" si="16"/>
        <v>0</v>
      </c>
      <c r="X104" s="52">
        <f t="shared" si="16"/>
        <v>0</v>
      </c>
      <c r="Y104" s="52">
        <f t="shared" si="16"/>
        <v>0</v>
      </c>
      <c r="Z104" s="52">
        <f t="shared" si="16"/>
        <v>0</v>
      </c>
      <c r="AA104" s="52">
        <f t="shared" si="16"/>
        <v>0</v>
      </c>
      <c r="AB104" s="52">
        <f t="shared" si="16"/>
        <v>0</v>
      </c>
      <c r="AC104" s="52">
        <f t="shared" si="16"/>
        <v>1</v>
      </c>
      <c r="AD104" s="52">
        <f t="shared" si="16"/>
        <v>1</v>
      </c>
      <c r="AE104" s="52">
        <f t="shared" si="16"/>
        <v>1</v>
      </c>
      <c r="AF104" s="52">
        <f t="shared" si="16"/>
        <v>0</v>
      </c>
      <c r="AG104" s="52">
        <f t="shared" si="17"/>
        <v>0</v>
      </c>
      <c r="AH104" s="52">
        <f t="shared" si="17"/>
        <v>1</v>
      </c>
      <c r="AI104" s="52">
        <f t="shared" si="17"/>
        <v>0</v>
      </c>
      <c r="AJ104" s="52">
        <f t="shared" si="17"/>
        <v>0</v>
      </c>
      <c r="AK104" s="52">
        <f t="shared" si="17"/>
        <v>0</v>
      </c>
      <c r="AL104" s="52">
        <f t="shared" si="17"/>
        <v>0</v>
      </c>
      <c r="AM104" s="52">
        <f t="shared" si="17"/>
        <v>0</v>
      </c>
      <c r="AN104" s="52">
        <f t="shared" si="17"/>
        <v>1</v>
      </c>
      <c r="AO104" s="52">
        <f t="shared" si="17"/>
        <v>1</v>
      </c>
      <c r="AP104" s="52">
        <f t="shared" si="17"/>
        <v>0</v>
      </c>
      <c r="AQ104" s="52">
        <f t="shared" si="18"/>
        <v>0</v>
      </c>
      <c r="AR104" s="52">
        <f t="shared" si="18"/>
        <v>0</v>
      </c>
      <c r="AS104" s="52">
        <f t="shared" si="18"/>
        <v>0</v>
      </c>
      <c r="AT104" s="52">
        <f t="shared" si="18"/>
        <v>1</v>
      </c>
      <c r="AU104" s="52">
        <f t="shared" si="18"/>
        <v>0</v>
      </c>
      <c r="AV104" s="52">
        <f t="shared" si="18"/>
        <v>0</v>
      </c>
      <c r="AW104" s="52">
        <f t="shared" si="18"/>
        <v>0</v>
      </c>
      <c r="AX104" s="52">
        <f t="shared" si="18"/>
        <v>1</v>
      </c>
    </row>
    <row r="105" spans="2:50" x14ac:dyDescent="0.2">
      <c r="B105" s="47">
        <v>16</v>
      </c>
      <c r="C105" s="52">
        <f t="shared" si="14"/>
        <v>0</v>
      </c>
      <c r="D105" s="52">
        <f t="shared" si="14"/>
        <v>0</v>
      </c>
      <c r="E105" s="52">
        <f t="shared" si="14"/>
        <v>1</v>
      </c>
      <c r="F105" s="52">
        <f t="shared" si="14"/>
        <v>0</v>
      </c>
      <c r="G105" s="52">
        <f t="shared" si="14"/>
        <v>0</v>
      </c>
      <c r="H105" s="52">
        <f t="shared" si="14"/>
        <v>0</v>
      </c>
      <c r="I105" s="52">
        <f t="shared" si="14"/>
        <v>1</v>
      </c>
      <c r="J105" s="52">
        <f t="shared" si="14"/>
        <v>1</v>
      </c>
      <c r="K105" s="52">
        <f t="shared" si="14"/>
        <v>1</v>
      </c>
      <c r="L105" s="52">
        <f t="shared" si="14"/>
        <v>0</v>
      </c>
      <c r="M105" s="52">
        <f t="shared" si="15"/>
        <v>0</v>
      </c>
      <c r="N105" s="52">
        <f t="shared" si="15"/>
        <v>0</v>
      </c>
      <c r="O105" s="52">
        <f t="shared" si="15"/>
        <v>0</v>
      </c>
      <c r="P105" s="52">
        <f t="shared" si="15"/>
        <v>1</v>
      </c>
      <c r="Q105" s="52">
        <f t="shared" si="15"/>
        <v>0</v>
      </c>
      <c r="R105" s="52">
        <f t="shared" si="15"/>
        <v>1</v>
      </c>
      <c r="S105" s="52">
        <f t="shared" si="15"/>
        <v>0</v>
      </c>
      <c r="T105" s="52">
        <f t="shared" si="15"/>
        <v>0</v>
      </c>
      <c r="U105" s="52">
        <f t="shared" si="15"/>
        <v>0</v>
      </c>
      <c r="V105" s="52">
        <f t="shared" si="15"/>
        <v>0</v>
      </c>
      <c r="W105" s="52">
        <f t="shared" si="16"/>
        <v>0</v>
      </c>
      <c r="X105" s="52">
        <f t="shared" si="16"/>
        <v>0</v>
      </c>
      <c r="Y105" s="52">
        <f t="shared" si="16"/>
        <v>0</v>
      </c>
      <c r="Z105" s="52">
        <f t="shared" si="16"/>
        <v>0</v>
      </c>
      <c r="AA105" s="52">
        <f t="shared" si="16"/>
        <v>1</v>
      </c>
      <c r="AB105" s="52">
        <f t="shared" si="16"/>
        <v>1</v>
      </c>
      <c r="AC105" s="52">
        <f t="shared" si="16"/>
        <v>1</v>
      </c>
      <c r="AD105" s="52">
        <f t="shared" si="16"/>
        <v>0</v>
      </c>
      <c r="AE105" s="52">
        <f t="shared" si="16"/>
        <v>0</v>
      </c>
      <c r="AF105" s="52">
        <f t="shared" si="16"/>
        <v>0</v>
      </c>
      <c r="AG105" s="52">
        <f t="shared" si="17"/>
        <v>0</v>
      </c>
      <c r="AH105" s="52">
        <f t="shared" si="17"/>
        <v>0</v>
      </c>
      <c r="AI105" s="52">
        <f t="shared" si="17"/>
        <v>0</v>
      </c>
      <c r="AJ105" s="52">
        <f t="shared" si="17"/>
        <v>0</v>
      </c>
      <c r="AK105" s="52">
        <f t="shared" si="17"/>
        <v>1</v>
      </c>
      <c r="AL105" s="52">
        <f t="shared" si="17"/>
        <v>1</v>
      </c>
      <c r="AM105" s="52">
        <f t="shared" si="17"/>
        <v>0</v>
      </c>
      <c r="AN105" s="52">
        <f t="shared" si="17"/>
        <v>0</v>
      </c>
      <c r="AO105" s="52">
        <f t="shared" si="17"/>
        <v>0</v>
      </c>
      <c r="AP105" s="52">
        <f t="shared" si="17"/>
        <v>0</v>
      </c>
      <c r="AQ105" s="52">
        <f t="shared" si="18"/>
        <v>1</v>
      </c>
      <c r="AR105" s="52">
        <f t="shared" si="18"/>
        <v>0</v>
      </c>
      <c r="AS105" s="52">
        <f t="shared" si="18"/>
        <v>0</v>
      </c>
      <c r="AT105" s="52">
        <f t="shared" si="18"/>
        <v>1</v>
      </c>
      <c r="AU105" s="52">
        <f t="shared" si="18"/>
        <v>0</v>
      </c>
      <c r="AV105" s="52">
        <f t="shared" si="18"/>
        <v>0</v>
      </c>
      <c r="AW105" s="52">
        <f t="shared" si="18"/>
        <v>0</v>
      </c>
      <c r="AX105" s="52">
        <f t="shared" si="18"/>
        <v>0</v>
      </c>
    </row>
    <row r="106" spans="2:50" x14ac:dyDescent="0.2">
      <c r="B106" s="47">
        <v>17</v>
      </c>
      <c r="C106" s="52">
        <f t="shared" si="14"/>
        <v>0</v>
      </c>
      <c r="D106" s="52">
        <f t="shared" si="14"/>
        <v>1</v>
      </c>
      <c r="E106" s="52">
        <f t="shared" si="14"/>
        <v>1</v>
      </c>
      <c r="F106" s="52">
        <f t="shared" si="14"/>
        <v>1</v>
      </c>
      <c r="G106" s="52">
        <f t="shared" si="14"/>
        <v>0</v>
      </c>
      <c r="H106" s="52">
        <f t="shared" si="14"/>
        <v>1</v>
      </c>
      <c r="I106" s="52">
        <f t="shared" si="14"/>
        <v>1</v>
      </c>
      <c r="J106" s="52">
        <f t="shared" si="14"/>
        <v>0</v>
      </c>
      <c r="K106" s="52">
        <f t="shared" si="14"/>
        <v>0</v>
      </c>
      <c r="L106" s="52">
        <f t="shared" si="14"/>
        <v>0</v>
      </c>
      <c r="M106" s="52">
        <f t="shared" si="15"/>
        <v>0</v>
      </c>
      <c r="N106" s="52">
        <f t="shared" si="15"/>
        <v>0</v>
      </c>
      <c r="O106" s="52">
        <f t="shared" si="15"/>
        <v>1</v>
      </c>
      <c r="P106" s="52">
        <f t="shared" si="15"/>
        <v>0</v>
      </c>
      <c r="Q106" s="52">
        <f t="shared" si="15"/>
        <v>1</v>
      </c>
      <c r="R106" s="52">
        <f t="shared" si="15"/>
        <v>0</v>
      </c>
      <c r="S106" s="52">
        <f t="shared" si="15"/>
        <v>1</v>
      </c>
      <c r="T106" s="52">
        <f t="shared" si="15"/>
        <v>1</v>
      </c>
      <c r="U106" s="52">
        <f t="shared" si="15"/>
        <v>0</v>
      </c>
      <c r="V106" s="52">
        <f t="shared" si="15"/>
        <v>1</v>
      </c>
      <c r="W106" s="52">
        <f t="shared" si="16"/>
        <v>0</v>
      </c>
      <c r="X106" s="52">
        <f t="shared" si="16"/>
        <v>1</v>
      </c>
      <c r="Y106" s="52">
        <f t="shared" si="16"/>
        <v>1</v>
      </c>
      <c r="Z106" s="52">
        <f t="shared" si="16"/>
        <v>0</v>
      </c>
      <c r="AA106" s="52">
        <f t="shared" si="16"/>
        <v>1</v>
      </c>
      <c r="AB106" s="52">
        <f t="shared" si="16"/>
        <v>0</v>
      </c>
      <c r="AC106" s="52">
        <f t="shared" si="16"/>
        <v>0</v>
      </c>
      <c r="AD106" s="52">
        <f t="shared" si="16"/>
        <v>1</v>
      </c>
      <c r="AE106" s="52">
        <f t="shared" si="16"/>
        <v>1</v>
      </c>
      <c r="AF106" s="52">
        <f t="shared" si="16"/>
        <v>0</v>
      </c>
      <c r="AG106" s="52">
        <f t="shared" si="17"/>
        <v>0</v>
      </c>
      <c r="AH106" s="52">
        <f t="shared" si="17"/>
        <v>0</v>
      </c>
      <c r="AI106" s="52">
        <f t="shared" si="17"/>
        <v>0</v>
      </c>
      <c r="AJ106" s="52">
        <f t="shared" si="17"/>
        <v>1</v>
      </c>
      <c r="AK106" s="52">
        <f t="shared" si="17"/>
        <v>0</v>
      </c>
      <c r="AL106" s="52">
        <f t="shared" si="17"/>
        <v>1</v>
      </c>
      <c r="AM106" s="52">
        <f t="shared" si="17"/>
        <v>1</v>
      </c>
      <c r="AN106" s="52">
        <f t="shared" si="17"/>
        <v>0</v>
      </c>
      <c r="AO106" s="52">
        <f t="shared" si="17"/>
        <v>0</v>
      </c>
      <c r="AP106" s="52">
        <f t="shared" si="17"/>
        <v>1</v>
      </c>
      <c r="AQ106" s="52">
        <f t="shared" si="18"/>
        <v>0</v>
      </c>
      <c r="AR106" s="52">
        <f t="shared" si="18"/>
        <v>0</v>
      </c>
      <c r="AS106" s="52">
        <f t="shared" si="18"/>
        <v>0</v>
      </c>
      <c r="AT106" s="52">
        <f t="shared" si="18"/>
        <v>1</v>
      </c>
      <c r="AU106" s="52">
        <f t="shared" si="18"/>
        <v>1</v>
      </c>
      <c r="AV106" s="52">
        <f t="shared" si="18"/>
        <v>0</v>
      </c>
      <c r="AW106" s="52">
        <f t="shared" si="18"/>
        <v>1</v>
      </c>
      <c r="AX106" s="52">
        <f t="shared" si="18"/>
        <v>0</v>
      </c>
    </row>
    <row r="107" spans="2:50" x14ac:dyDescent="0.2">
      <c r="B107" s="47">
        <v>18</v>
      </c>
      <c r="C107" s="52">
        <f t="shared" si="14"/>
        <v>0</v>
      </c>
      <c r="D107" s="52">
        <f t="shared" si="14"/>
        <v>0</v>
      </c>
      <c r="E107" s="52">
        <f t="shared" si="14"/>
        <v>1</v>
      </c>
      <c r="F107" s="52">
        <f t="shared" si="14"/>
        <v>0</v>
      </c>
      <c r="G107" s="52">
        <f t="shared" si="14"/>
        <v>0</v>
      </c>
      <c r="H107" s="52">
        <f t="shared" si="14"/>
        <v>1</v>
      </c>
      <c r="I107" s="52">
        <f t="shared" si="14"/>
        <v>0</v>
      </c>
      <c r="J107" s="52">
        <f t="shared" si="14"/>
        <v>0</v>
      </c>
      <c r="K107" s="52">
        <f t="shared" si="14"/>
        <v>0</v>
      </c>
      <c r="L107" s="52">
        <f t="shared" si="14"/>
        <v>0</v>
      </c>
      <c r="M107" s="52">
        <f t="shared" si="15"/>
        <v>0</v>
      </c>
      <c r="N107" s="52">
        <f t="shared" si="15"/>
        <v>0</v>
      </c>
      <c r="O107" s="52">
        <f t="shared" si="15"/>
        <v>0</v>
      </c>
      <c r="P107" s="52">
        <f t="shared" si="15"/>
        <v>0</v>
      </c>
      <c r="Q107" s="52">
        <f t="shared" si="15"/>
        <v>0</v>
      </c>
      <c r="R107" s="52">
        <f t="shared" si="15"/>
        <v>0</v>
      </c>
      <c r="S107" s="52">
        <f t="shared" si="15"/>
        <v>1</v>
      </c>
      <c r="T107" s="52">
        <f t="shared" si="15"/>
        <v>1</v>
      </c>
      <c r="U107" s="52">
        <f t="shared" si="15"/>
        <v>0</v>
      </c>
      <c r="V107" s="52">
        <f t="shared" si="15"/>
        <v>0</v>
      </c>
      <c r="W107" s="52">
        <f t="shared" si="16"/>
        <v>0</v>
      </c>
      <c r="X107" s="52">
        <f t="shared" si="16"/>
        <v>0</v>
      </c>
      <c r="Y107" s="52">
        <f t="shared" si="16"/>
        <v>0</v>
      </c>
      <c r="Z107" s="52">
        <f t="shared" si="16"/>
        <v>0</v>
      </c>
      <c r="AA107" s="52">
        <f t="shared" si="16"/>
        <v>0</v>
      </c>
      <c r="AB107" s="52">
        <f t="shared" si="16"/>
        <v>0</v>
      </c>
      <c r="AC107" s="52">
        <f t="shared" si="16"/>
        <v>0</v>
      </c>
      <c r="AD107" s="52">
        <f t="shared" si="16"/>
        <v>0</v>
      </c>
      <c r="AE107" s="52">
        <f t="shared" si="16"/>
        <v>0</v>
      </c>
      <c r="AF107" s="52">
        <f t="shared" si="16"/>
        <v>0</v>
      </c>
      <c r="AG107" s="52">
        <f t="shared" si="17"/>
        <v>1</v>
      </c>
      <c r="AH107" s="52">
        <f t="shared" si="17"/>
        <v>0</v>
      </c>
      <c r="AI107" s="52">
        <f t="shared" si="17"/>
        <v>0</v>
      </c>
      <c r="AJ107" s="52">
        <f t="shared" si="17"/>
        <v>1</v>
      </c>
      <c r="AK107" s="52">
        <f t="shared" si="17"/>
        <v>0</v>
      </c>
      <c r="AL107" s="52">
        <f t="shared" si="17"/>
        <v>1</v>
      </c>
      <c r="AM107" s="52">
        <f t="shared" si="17"/>
        <v>1</v>
      </c>
      <c r="AN107" s="52">
        <f t="shared" si="17"/>
        <v>0</v>
      </c>
      <c r="AO107" s="52">
        <f t="shared" si="17"/>
        <v>0</v>
      </c>
      <c r="AP107" s="52">
        <f t="shared" si="17"/>
        <v>1</v>
      </c>
      <c r="AQ107" s="52">
        <f t="shared" si="18"/>
        <v>0</v>
      </c>
      <c r="AR107" s="52">
        <f t="shared" si="18"/>
        <v>0</v>
      </c>
      <c r="AS107" s="52">
        <f t="shared" si="18"/>
        <v>0</v>
      </c>
      <c r="AT107" s="52">
        <f t="shared" si="18"/>
        <v>0</v>
      </c>
      <c r="AU107" s="52">
        <f t="shared" si="18"/>
        <v>0</v>
      </c>
      <c r="AV107" s="52">
        <f t="shared" si="18"/>
        <v>0</v>
      </c>
      <c r="AW107" s="52">
        <f t="shared" si="18"/>
        <v>0</v>
      </c>
      <c r="AX107" s="52">
        <f t="shared" si="18"/>
        <v>0</v>
      </c>
    </row>
    <row r="108" spans="2:50" x14ac:dyDescent="0.2">
      <c r="B108" s="47">
        <v>19</v>
      </c>
      <c r="C108" s="52">
        <f t="shared" si="14"/>
        <v>0</v>
      </c>
      <c r="D108" s="52">
        <f t="shared" si="14"/>
        <v>0</v>
      </c>
      <c r="E108" s="52">
        <f t="shared" si="14"/>
        <v>0</v>
      </c>
      <c r="F108" s="52">
        <f t="shared" si="14"/>
        <v>0</v>
      </c>
      <c r="G108" s="52">
        <f t="shared" si="14"/>
        <v>0</v>
      </c>
      <c r="H108" s="52">
        <f t="shared" si="14"/>
        <v>0</v>
      </c>
      <c r="I108" s="52">
        <f t="shared" si="14"/>
        <v>0</v>
      </c>
      <c r="J108" s="52">
        <f t="shared" si="14"/>
        <v>0</v>
      </c>
      <c r="K108" s="52">
        <f t="shared" si="14"/>
        <v>0</v>
      </c>
      <c r="L108" s="52">
        <f t="shared" si="14"/>
        <v>0</v>
      </c>
      <c r="M108" s="52">
        <f t="shared" si="15"/>
        <v>1</v>
      </c>
      <c r="N108" s="52">
        <f t="shared" si="15"/>
        <v>0</v>
      </c>
      <c r="O108" s="52">
        <f t="shared" si="15"/>
        <v>1</v>
      </c>
      <c r="P108" s="52">
        <f t="shared" si="15"/>
        <v>0</v>
      </c>
      <c r="Q108" s="52">
        <f t="shared" si="15"/>
        <v>0</v>
      </c>
      <c r="R108" s="52">
        <f t="shared" si="15"/>
        <v>0</v>
      </c>
      <c r="S108" s="52">
        <f t="shared" si="15"/>
        <v>0</v>
      </c>
      <c r="T108" s="52">
        <f t="shared" si="15"/>
        <v>0</v>
      </c>
      <c r="U108" s="52">
        <f t="shared" si="15"/>
        <v>1</v>
      </c>
      <c r="V108" s="52">
        <f t="shared" si="15"/>
        <v>0</v>
      </c>
      <c r="W108" s="52">
        <f t="shared" si="16"/>
        <v>0</v>
      </c>
      <c r="X108" s="52">
        <f t="shared" si="16"/>
        <v>0</v>
      </c>
      <c r="Y108" s="52">
        <f t="shared" si="16"/>
        <v>0</v>
      </c>
      <c r="Z108" s="52">
        <f t="shared" si="16"/>
        <v>1</v>
      </c>
      <c r="AA108" s="52">
        <f t="shared" si="16"/>
        <v>0</v>
      </c>
      <c r="AB108" s="52">
        <f t="shared" si="16"/>
        <v>0</v>
      </c>
      <c r="AC108" s="52">
        <f t="shared" si="16"/>
        <v>0</v>
      </c>
      <c r="AD108" s="52">
        <f t="shared" si="16"/>
        <v>0</v>
      </c>
      <c r="AE108" s="52">
        <f t="shared" si="16"/>
        <v>0</v>
      </c>
      <c r="AF108" s="52">
        <f t="shared" si="16"/>
        <v>0</v>
      </c>
      <c r="AG108" s="52">
        <f t="shared" si="17"/>
        <v>0</v>
      </c>
      <c r="AH108" s="52">
        <f t="shared" si="17"/>
        <v>0</v>
      </c>
      <c r="AI108" s="52">
        <f t="shared" si="17"/>
        <v>0</v>
      </c>
      <c r="AJ108" s="52">
        <f t="shared" si="17"/>
        <v>0</v>
      </c>
      <c r="AK108" s="52">
        <f t="shared" si="17"/>
        <v>0</v>
      </c>
      <c r="AL108" s="52">
        <f t="shared" si="17"/>
        <v>0</v>
      </c>
      <c r="AM108" s="52">
        <f t="shared" si="17"/>
        <v>0</v>
      </c>
      <c r="AN108" s="52">
        <f t="shared" si="17"/>
        <v>0</v>
      </c>
      <c r="AO108" s="52">
        <f t="shared" si="17"/>
        <v>0</v>
      </c>
      <c r="AP108" s="52">
        <f t="shared" si="17"/>
        <v>0</v>
      </c>
      <c r="AQ108" s="52">
        <f t="shared" si="18"/>
        <v>0</v>
      </c>
      <c r="AR108" s="52">
        <f t="shared" si="18"/>
        <v>0</v>
      </c>
      <c r="AS108" s="52">
        <f t="shared" si="18"/>
        <v>0</v>
      </c>
      <c r="AT108" s="52">
        <f t="shared" si="18"/>
        <v>0</v>
      </c>
      <c r="AU108" s="52">
        <f t="shared" si="18"/>
        <v>0</v>
      </c>
      <c r="AV108" s="52">
        <f t="shared" si="18"/>
        <v>0</v>
      </c>
      <c r="AW108" s="52">
        <f t="shared" si="18"/>
        <v>0</v>
      </c>
      <c r="AX108" s="52">
        <f t="shared" si="18"/>
        <v>1</v>
      </c>
    </row>
    <row r="109" spans="2:50" x14ac:dyDescent="0.2">
      <c r="B109" s="47">
        <v>20</v>
      </c>
      <c r="C109" s="52">
        <f t="shared" si="14"/>
        <v>1</v>
      </c>
      <c r="D109" s="52">
        <f t="shared" si="14"/>
        <v>0</v>
      </c>
      <c r="E109" s="52">
        <f t="shared" si="14"/>
        <v>1</v>
      </c>
      <c r="F109" s="52">
        <f t="shared" si="14"/>
        <v>1</v>
      </c>
      <c r="G109" s="52">
        <f t="shared" si="14"/>
        <v>0</v>
      </c>
      <c r="H109" s="52">
        <f t="shared" si="14"/>
        <v>0</v>
      </c>
      <c r="I109" s="52">
        <f t="shared" si="14"/>
        <v>0</v>
      </c>
      <c r="J109" s="52">
        <f t="shared" si="14"/>
        <v>0</v>
      </c>
      <c r="K109" s="52">
        <f t="shared" si="14"/>
        <v>1</v>
      </c>
      <c r="L109" s="52">
        <f t="shared" si="14"/>
        <v>0</v>
      </c>
      <c r="M109" s="52">
        <f t="shared" si="15"/>
        <v>0</v>
      </c>
      <c r="N109" s="52">
        <f t="shared" si="15"/>
        <v>0</v>
      </c>
      <c r="O109" s="52">
        <f t="shared" si="15"/>
        <v>1</v>
      </c>
      <c r="P109" s="52">
        <f t="shared" si="15"/>
        <v>0</v>
      </c>
      <c r="Q109" s="52">
        <f t="shared" si="15"/>
        <v>0</v>
      </c>
      <c r="R109" s="52">
        <f t="shared" si="15"/>
        <v>0</v>
      </c>
      <c r="S109" s="52">
        <f t="shared" si="15"/>
        <v>1</v>
      </c>
      <c r="T109" s="52">
        <f t="shared" si="15"/>
        <v>0</v>
      </c>
      <c r="U109" s="52">
        <f t="shared" si="15"/>
        <v>0</v>
      </c>
      <c r="V109" s="52">
        <f t="shared" si="15"/>
        <v>1</v>
      </c>
      <c r="W109" s="52">
        <f t="shared" si="16"/>
        <v>0</v>
      </c>
      <c r="X109" s="52">
        <f t="shared" si="16"/>
        <v>1</v>
      </c>
      <c r="Y109" s="52">
        <f t="shared" si="16"/>
        <v>0</v>
      </c>
      <c r="Z109" s="52">
        <f t="shared" si="16"/>
        <v>0</v>
      </c>
      <c r="AA109" s="52">
        <f t="shared" si="16"/>
        <v>1</v>
      </c>
      <c r="AB109" s="52">
        <f t="shared" si="16"/>
        <v>1</v>
      </c>
      <c r="AC109" s="52">
        <f t="shared" si="16"/>
        <v>0</v>
      </c>
      <c r="AD109" s="52">
        <f t="shared" si="16"/>
        <v>0</v>
      </c>
      <c r="AE109" s="52">
        <f t="shared" si="16"/>
        <v>0</v>
      </c>
      <c r="AF109" s="52">
        <f t="shared" si="16"/>
        <v>1</v>
      </c>
      <c r="AG109" s="52">
        <f t="shared" si="17"/>
        <v>0</v>
      </c>
      <c r="AH109" s="52">
        <f t="shared" si="17"/>
        <v>0</v>
      </c>
      <c r="AI109" s="52">
        <f t="shared" si="17"/>
        <v>0</v>
      </c>
      <c r="AJ109" s="52">
        <f t="shared" si="17"/>
        <v>0</v>
      </c>
      <c r="AK109" s="52">
        <f t="shared" si="17"/>
        <v>0</v>
      </c>
      <c r="AL109" s="52">
        <f t="shared" si="17"/>
        <v>0</v>
      </c>
      <c r="AM109" s="52">
        <f t="shared" si="17"/>
        <v>1</v>
      </c>
      <c r="AN109" s="52">
        <f t="shared" si="17"/>
        <v>0</v>
      </c>
      <c r="AO109" s="52">
        <f t="shared" si="17"/>
        <v>0</v>
      </c>
      <c r="AP109" s="52">
        <f t="shared" si="17"/>
        <v>0</v>
      </c>
      <c r="AQ109" s="52">
        <f t="shared" si="18"/>
        <v>0</v>
      </c>
      <c r="AR109" s="52">
        <f t="shared" si="18"/>
        <v>0</v>
      </c>
      <c r="AS109" s="52">
        <f t="shared" si="18"/>
        <v>0</v>
      </c>
      <c r="AT109" s="52">
        <f t="shared" si="18"/>
        <v>0</v>
      </c>
      <c r="AU109" s="52">
        <f t="shared" si="18"/>
        <v>0</v>
      </c>
      <c r="AV109" s="52">
        <f t="shared" si="18"/>
        <v>0</v>
      </c>
      <c r="AW109" s="52">
        <f t="shared" si="18"/>
        <v>1</v>
      </c>
      <c r="AX109" s="52">
        <f t="shared" si="18"/>
        <v>0</v>
      </c>
    </row>
    <row r="110" spans="2:50" x14ac:dyDescent="0.2">
      <c r="B110" s="47">
        <v>21</v>
      </c>
      <c r="C110" s="52">
        <f t="shared" ref="C110:L119" si="19">eventClash(C$89,$B110, eventStudent)</f>
        <v>0</v>
      </c>
      <c r="D110" s="52">
        <f t="shared" si="19"/>
        <v>0</v>
      </c>
      <c r="E110" s="52">
        <f t="shared" si="19"/>
        <v>0</v>
      </c>
      <c r="F110" s="52">
        <f t="shared" si="19"/>
        <v>0</v>
      </c>
      <c r="G110" s="52">
        <f t="shared" si="19"/>
        <v>1</v>
      </c>
      <c r="H110" s="52">
        <f t="shared" si="19"/>
        <v>0</v>
      </c>
      <c r="I110" s="52">
        <f t="shared" si="19"/>
        <v>0</v>
      </c>
      <c r="J110" s="52">
        <f t="shared" si="19"/>
        <v>1</v>
      </c>
      <c r="K110" s="52">
        <f t="shared" si="19"/>
        <v>1</v>
      </c>
      <c r="L110" s="52">
        <f t="shared" si="19"/>
        <v>1</v>
      </c>
      <c r="M110" s="52">
        <f t="shared" ref="M110:V119" si="20">eventClash(M$89,$B110, eventStudent)</f>
        <v>0</v>
      </c>
      <c r="N110" s="52">
        <f t="shared" si="20"/>
        <v>0</v>
      </c>
      <c r="O110" s="52">
        <f t="shared" si="20"/>
        <v>1</v>
      </c>
      <c r="P110" s="52">
        <f t="shared" si="20"/>
        <v>0</v>
      </c>
      <c r="Q110" s="52">
        <f t="shared" si="20"/>
        <v>0</v>
      </c>
      <c r="R110" s="52">
        <f t="shared" si="20"/>
        <v>0</v>
      </c>
      <c r="S110" s="52">
        <f t="shared" si="20"/>
        <v>0</v>
      </c>
      <c r="T110" s="52">
        <f t="shared" si="20"/>
        <v>0</v>
      </c>
      <c r="U110" s="52">
        <f t="shared" si="20"/>
        <v>0</v>
      </c>
      <c r="V110" s="52">
        <f t="shared" si="20"/>
        <v>0</v>
      </c>
      <c r="W110" s="52">
        <f t="shared" ref="W110:AF119" si="21">eventClash(W$89,$B110, eventStudent)</f>
        <v>1</v>
      </c>
      <c r="X110" s="52">
        <f t="shared" si="21"/>
        <v>0</v>
      </c>
      <c r="Y110" s="52">
        <f t="shared" si="21"/>
        <v>1</v>
      </c>
      <c r="Z110" s="52">
        <f t="shared" si="21"/>
        <v>0</v>
      </c>
      <c r="AA110" s="52">
        <f t="shared" si="21"/>
        <v>0</v>
      </c>
      <c r="AB110" s="52">
        <f t="shared" si="21"/>
        <v>0</v>
      </c>
      <c r="AC110" s="52">
        <f t="shared" si="21"/>
        <v>0</v>
      </c>
      <c r="AD110" s="52">
        <f t="shared" si="21"/>
        <v>1</v>
      </c>
      <c r="AE110" s="52">
        <f t="shared" si="21"/>
        <v>0</v>
      </c>
      <c r="AF110" s="52">
        <f t="shared" si="21"/>
        <v>0</v>
      </c>
      <c r="AG110" s="52">
        <f t="shared" ref="AG110:AP119" si="22">eventClash(AG$89,$B110, eventStudent)</f>
        <v>0</v>
      </c>
      <c r="AH110" s="52">
        <f t="shared" si="22"/>
        <v>0</v>
      </c>
      <c r="AI110" s="52">
        <f t="shared" si="22"/>
        <v>1</v>
      </c>
      <c r="AJ110" s="52">
        <f t="shared" si="22"/>
        <v>0</v>
      </c>
      <c r="AK110" s="52">
        <f t="shared" si="22"/>
        <v>1</v>
      </c>
      <c r="AL110" s="52">
        <f t="shared" si="22"/>
        <v>0</v>
      </c>
      <c r="AM110" s="52">
        <f t="shared" si="22"/>
        <v>1</v>
      </c>
      <c r="AN110" s="52">
        <f t="shared" si="22"/>
        <v>0</v>
      </c>
      <c r="AO110" s="52">
        <f t="shared" si="22"/>
        <v>0</v>
      </c>
      <c r="AP110" s="52">
        <f t="shared" si="22"/>
        <v>0</v>
      </c>
      <c r="AQ110" s="52">
        <f t="shared" ref="AQ110:AX119" si="23">eventClash(AQ$89,$B110, eventStudent)</f>
        <v>1</v>
      </c>
      <c r="AR110" s="52">
        <f t="shared" si="23"/>
        <v>1</v>
      </c>
      <c r="AS110" s="52">
        <f t="shared" si="23"/>
        <v>0</v>
      </c>
      <c r="AT110" s="52">
        <f t="shared" si="23"/>
        <v>0</v>
      </c>
      <c r="AU110" s="52">
        <f t="shared" si="23"/>
        <v>1</v>
      </c>
      <c r="AV110" s="52">
        <f t="shared" si="23"/>
        <v>0</v>
      </c>
      <c r="AW110" s="52">
        <f t="shared" si="23"/>
        <v>1</v>
      </c>
      <c r="AX110" s="52">
        <f t="shared" si="23"/>
        <v>0</v>
      </c>
    </row>
    <row r="111" spans="2:50" x14ac:dyDescent="0.2">
      <c r="B111" s="47">
        <v>22</v>
      </c>
      <c r="C111" s="52">
        <f t="shared" si="19"/>
        <v>1</v>
      </c>
      <c r="D111" s="52">
        <f t="shared" si="19"/>
        <v>0</v>
      </c>
      <c r="E111" s="52">
        <f t="shared" si="19"/>
        <v>0</v>
      </c>
      <c r="F111" s="52">
        <f t="shared" si="19"/>
        <v>0</v>
      </c>
      <c r="G111" s="52">
        <f t="shared" si="19"/>
        <v>1</v>
      </c>
      <c r="H111" s="52">
        <f t="shared" si="19"/>
        <v>0</v>
      </c>
      <c r="I111" s="52">
        <f t="shared" si="19"/>
        <v>0</v>
      </c>
      <c r="J111" s="52">
        <f t="shared" si="19"/>
        <v>0</v>
      </c>
      <c r="K111" s="52">
        <f t="shared" si="19"/>
        <v>0</v>
      </c>
      <c r="L111" s="52">
        <f t="shared" si="19"/>
        <v>0</v>
      </c>
      <c r="M111" s="52">
        <f t="shared" si="20"/>
        <v>1</v>
      </c>
      <c r="N111" s="52">
        <f t="shared" si="20"/>
        <v>0</v>
      </c>
      <c r="O111" s="52">
        <f t="shared" si="20"/>
        <v>1</v>
      </c>
      <c r="P111" s="52">
        <f t="shared" si="20"/>
        <v>0</v>
      </c>
      <c r="Q111" s="52">
        <f t="shared" si="20"/>
        <v>0</v>
      </c>
      <c r="R111" s="52">
        <f t="shared" si="20"/>
        <v>0</v>
      </c>
      <c r="S111" s="52">
        <f t="shared" si="20"/>
        <v>1</v>
      </c>
      <c r="T111" s="52">
        <f t="shared" si="20"/>
        <v>0</v>
      </c>
      <c r="U111" s="52">
        <f t="shared" si="20"/>
        <v>0</v>
      </c>
      <c r="V111" s="52">
        <f t="shared" si="20"/>
        <v>1</v>
      </c>
      <c r="W111" s="52">
        <f t="shared" si="21"/>
        <v>0</v>
      </c>
      <c r="X111" s="52">
        <f t="shared" si="21"/>
        <v>1</v>
      </c>
      <c r="Y111" s="52">
        <f t="shared" si="21"/>
        <v>0</v>
      </c>
      <c r="Z111" s="52">
        <f t="shared" si="21"/>
        <v>0</v>
      </c>
      <c r="AA111" s="52">
        <f t="shared" si="21"/>
        <v>1</v>
      </c>
      <c r="AB111" s="52">
        <f t="shared" si="21"/>
        <v>1</v>
      </c>
      <c r="AC111" s="52">
        <f t="shared" si="21"/>
        <v>0</v>
      </c>
      <c r="AD111" s="52">
        <f t="shared" si="21"/>
        <v>0</v>
      </c>
      <c r="AE111" s="52">
        <f t="shared" si="21"/>
        <v>0</v>
      </c>
      <c r="AF111" s="52">
        <f t="shared" si="21"/>
        <v>1</v>
      </c>
      <c r="AG111" s="52">
        <f t="shared" si="22"/>
        <v>0</v>
      </c>
      <c r="AH111" s="52">
        <f t="shared" si="22"/>
        <v>0</v>
      </c>
      <c r="AI111" s="52">
        <f t="shared" si="22"/>
        <v>0</v>
      </c>
      <c r="AJ111" s="52">
        <f t="shared" si="22"/>
        <v>1</v>
      </c>
      <c r="AK111" s="52">
        <f t="shared" si="22"/>
        <v>0</v>
      </c>
      <c r="AL111" s="52">
        <f t="shared" si="22"/>
        <v>1</v>
      </c>
      <c r="AM111" s="52">
        <f t="shared" si="22"/>
        <v>1</v>
      </c>
      <c r="AN111" s="52">
        <f t="shared" si="22"/>
        <v>1</v>
      </c>
      <c r="AO111" s="52">
        <f t="shared" si="22"/>
        <v>0</v>
      </c>
      <c r="AP111" s="52">
        <f t="shared" si="22"/>
        <v>1</v>
      </c>
      <c r="AQ111" s="52">
        <f t="shared" si="23"/>
        <v>1</v>
      </c>
      <c r="AR111" s="52">
        <f t="shared" si="23"/>
        <v>0</v>
      </c>
      <c r="AS111" s="52">
        <f t="shared" si="23"/>
        <v>0</v>
      </c>
      <c r="AT111" s="52">
        <f t="shared" si="23"/>
        <v>0</v>
      </c>
      <c r="AU111" s="52">
        <f t="shared" si="23"/>
        <v>1</v>
      </c>
      <c r="AV111" s="52">
        <f t="shared" si="23"/>
        <v>1</v>
      </c>
      <c r="AW111" s="52">
        <f t="shared" si="23"/>
        <v>1</v>
      </c>
      <c r="AX111" s="52">
        <f t="shared" si="23"/>
        <v>1</v>
      </c>
    </row>
    <row r="112" spans="2:50" x14ac:dyDescent="0.2">
      <c r="B112" s="47">
        <v>23</v>
      </c>
      <c r="C112" s="52">
        <f t="shared" si="19"/>
        <v>0</v>
      </c>
      <c r="D112" s="52">
        <f t="shared" si="19"/>
        <v>1</v>
      </c>
      <c r="E112" s="52">
        <f t="shared" si="19"/>
        <v>0</v>
      </c>
      <c r="F112" s="52">
        <f t="shared" si="19"/>
        <v>1</v>
      </c>
      <c r="G112" s="52">
        <f t="shared" si="19"/>
        <v>0</v>
      </c>
      <c r="H112" s="52">
        <f t="shared" si="19"/>
        <v>1</v>
      </c>
      <c r="I112" s="52">
        <f t="shared" si="19"/>
        <v>0</v>
      </c>
      <c r="J112" s="52">
        <f t="shared" si="19"/>
        <v>0</v>
      </c>
      <c r="K112" s="52">
        <f t="shared" si="19"/>
        <v>1</v>
      </c>
      <c r="L112" s="52">
        <f t="shared" si="19"/>
        <v>1</v>
      </c>
      <c r="M112" s="52">
        <f t="shared" si="20"/>
        <v>0</v>
      </c>
      <c r="N112" s="52">
        <f t="shared" si="20"/>
        <v>0</v>
      </c>
      <c r="O112" s="52">
        <f t="shared" si="20"/>
        <v>1</v>
      </c>
      <c r="P112" s="52">
        <f t="shared" si="20"/>
        <v>0</v>
      </c>
      <c r="Q112" s="52">
        <f t="shared" si="20"/>
        <v>0</v>
      </c>
      <c r="R112" s="52">
        <f t="shared" si="20"/>
        <v>0</v>
      </c>
      <c r="S112" s="52">
        <f t="shared" si="20"/>
        <v>1</v>
      </c>
      <c r="T112" s="52">
        <f t="shared" si="20"/>
        <v>0</v>
      </c>
      <c r="U112" s="52">
        <f t="shared" si="20"/>
        <v>0</v>
      </c>
      <c r="V112" s="52">
        <f t="shared" si="20"/>
        <v>0</v>
      </c>
      <c r="W112" s="52">
        <f t="shared" si="21"/>
        <v>1</v>
      </c>
      <c r="X112" s="52">
        <f t="shared" si="21"/>
        <v>0</v>
      </c>
      <c r="Y112" s="52">
        <f t="shared" si="21"/>
        <v>1</v>
      </c>
      <c r="Z112" s="52">
        <f t="shared" si="21"/>
        <v>0</v>
      </c>
      <c r="AA112" s="52">
        <f t="shared" si="21"/>
        <v>0</v>
      </c>
      <c r="AB112" s="52">
        <f t="shared" si="21"/>
        <v>0</v>
      </c>
      <c r="AC112" s="52">
        <f t="shared" si="21"/>
        <v>0</v>
      </c>
      <c r="AD112" s="52">
        <f t="shared" si="21"/>
        <v>1</v>
      </c>
      <c r="AE112" s="52">
        <f t="shared" si="21"/>
        <v>0</v>
      </c>
      <c r="AF112" s="52">
        <f t="shared" si="21"/>
        <v>0</v>
      </c>
      <c r="AG112" s="52">
        <f t="shared" si="22"/>
        <v>0</v>
      </c>
      <c r="AH112" s="52">
        <f t="shared" si="22"/>
        <v>0</v>
      </c>
      <c r="AI112" s="52">
        <f t="shared" si="22"/>
        <v>0</v>
      </c>
      <c r="AJ112" s="52">
        <f t="shared" si="22"/>
        <v>0</v>
      </c>
      <c r="AK112" s="52">
        <f t="shared" si="22"/>
        <v>0</v>
      </c>
      <c r="AL112" s="52">
        <f t="shared" si="22"/>
        <v>0</v>
      </c>
      <c r="AM112" s="52">
        <f t="shared" si="22"/>
        <v>0</v>
      </c>
      <c r="AN112" s="52">
        <f t="shared" si="22"/>
        <v>0</v>
      </c>
      <c r="AO112" s="52">
        <f t="shared" si="22"/>
        <v>0</v>
      </c>
      <c r="AP112" s="52">
        <f t="shared" si="22"/>
        <v>0</v>
      </c>
      <c r="AQ112" s="52">
        <f t="shared" si="23"/>
        <v>0</v>
      </c>
      <c r="AR112" s="52">
        <f t="shared" si="23"/>
        <v>1</v>
      </c>
      <c r="AS112" s="52">
        <f t="shared" si="23"/>
        <v>0</v>
      </c>
      <c r="AT112" s="52">
        <f t="shared" si="23"/>
        <v>0</v>
      </c>
      <c r="AU112" s="52">
        <f t="shared" si="23"/>
        <v>1</v>
      </c>
      <c r="AV112" s="52">
        <f t="shared" si="23"/>
        <v>1</v>
      </c>
      <c r="AW112" s="52">
        <f t="shared" si="23"/>
        <v>0</v>
      </c>
      <c r="AX112" s="52">
        <f t="shared" si="23"/>
        <v>0</v>
      </c>
    </row>
    <row r="113" spans="2:50" x14ac:dyDescent="0.2">
      <c r="B113" s="47">
        <v>24</v>
      </c>
      <c r="C113" s="52">
        <f t="shared" si="19"/>
        <v>0</v>
      </c>
      <c r="D113" s="52">
        <f t="shared" si="19"/>
        <v>0</v>
      </c>
      <c r="E113" s="52">
        <f t="shared" si="19"/>
        <v>0</v>
      </c>
      <c r="F113" s="52">
        <f t="shared" si="19"/>
        <v>0</v>
      </c>
      <c r="G113" s="52">
        <f t="shared" si="19"/>
        <v>0</v>
      </c>
      <c r="H113" s="52">
        <f t="shared" si="19"/>
        <v>0</v>
      </c>
      <c r="I113" s="52">
        <f t="shared" si="19"/>
        <v>0</v>
      </c>
      <c r="J113" s="52">
        <f t="shared" si="19"/>
        <v>0</v>
      </c>
      <c r="K113" s="52">
        <f t="shared" si="19"/>
        <v>0</v>
      </c>
      <c r="L113" s="52">
        <f t="shared" si="19"/>
        <v>1</v>
      </c>
      <c r="M113" s="52">
        <f t="shared" si="20"/>
        <v>1</v>
      </c>
      <c r="N113" s="52">
        <f t="shared" si="20"/>
        <v>0</v>
      </c>
      <c r="O113" s="52">
        <f t="shared" si="20"/>
        <v>1</v>
      </c>
      <c r="P113" s="52">
        <f t="shared" si="20"/>
        <v>0</v>
      </c>
      <c r="Q113" s="52">
        <f t="shared" si="20"/>
        <v>0</v>
      </c>
      <c r="R113" s="52">
        <f t="shared" si="20"/>
        <v>0</v>
      </c>
      <c r="S113" s="52">
        <f t="shared" si="20"/>
        <v>0</v>
      </c>
      <c r="T113" s="52">
        <f t="shared" si="20"/>
        <v>0</v>
      </c>
      <c r="U113" s="52">
        <f t="shared" si="20"/>
        <v>1</v>
      </c>
      <c r="V113" s="52">
        <f t="shared" si="20"/>
        <v>0</v>
      </c>
      <c r="W113" s="52">
        <f t="shared" si="21"/>
        <v>0</v>
      </c>
      <c r="X113" s="52">
        <f t="shared" si="21"/>
        <v>0</v>
      </c>
      <c r="Y113" s="52">
        <f t="shared" si="21"/>
        <v>0</v>
      </c>
      <c r="Z113" s="52">
        <f t="shared" si="21"/>
        <v>1</v>
      </c>
      <c r="AA113" s="52">
        <f t="shared" si="21"/>
        <v>0</v>
      </c>
      <c r="AB113" s="52">
        <f t="shared" si="21"/>
        <v>0</v>
      </c>
      <c r="AC113" s="52">
        <f t="shared" si="21"/>
        <v>0</v>
      </c>
      <c r="AD113" s="52">
        <f t="shared" si="21"/>
        <v>0</v>
      </c>
      <c r="AE113" s="52">
        <f t="shared" si="21"/>
        <v>0</v>
      </c>
      <c r="AF113" s="52">
        <f t="shared" si="21"/>
        <v>0</v>
      </c>
      <c r="AG113" s="52">
        <f t="shared" si="22"/>
        <v>1</v>
      </c>
      <c r="AH113" s="52">
        <f t="shared" si="22"/>
        <v>0</v>
      </c>
      <c r="AI113" s="52">
        <f t="shared" si="22"/>
        <v>0</v>
      </c>
      <c r="AJ113" s="52">
        <f t="shared" si="22"/>
        <v>0</v>
      </c>
      <c r="AK113" s="52">
        <f t="shared" si="22"/>
        <v>1</v>
      </c>
      <c r="AL113" s="52">
        <f t="shared" si="22"/>
        <v>0</v>
      </c>
      <c r="AM113" s="52">
        <f t="shared" si="22"/>
        <v>0</v>
      </c>
      <c r="AN113" s="52">
        <f t="shared" si="22"/>
        <v>0</v>
      </c>
      <c r="AO113" s="52">
        <f t="shared" si="22"/>
        <v>0</v>
      </c>
      <c r="AP113" s="52">
        <f t="shared" si="22"/>
        <v>0</v>
      </c>
      <c r="AQ113" s="52">
        <f t="shared" si="23"/>
        <v>0</v>
      </c>
      <c r="AR113" s="52">
        <f t="shared" si="23"/>
        <v>0</v>
      </c>
      <c r="AS113" s="52">
        <f t="shared" si="23"/>
        <v>0</v>
      </c>
      <c r="AT113" s="52">
        <f t="shared" si="23"/>
        <v>0</v>
      </c>
      <c r="AU113" s="52">
        <f t="shared" si="23"/>
        <v>0</v>
      </c>
      <c r="AV113" s="52">
        <f t="shared" si="23"/>
        <v>0</v>
      </c>
      <c r="AW113" s="52">
        <f t="shared" si="23"/>
        <v>1</v>
      </c>
      <c r="AX113" s="52">
        <f t="shared" si="23"/>
        <v>1</v>
      </c>
    </row>
    <row r="114" spans="2:50" x14ac:dyDescent="0.2">
      <c r="B114" s="47">
        <v>25</v>
      </c>
      <c r="C114" s="52">
        <f t="shared" si="19"/>
        <v>0</v>
      </c>
      <c r="D114" s="52">
        <f t="shared" si="19"/>
        <v>0</v>
      </c>
      <c r="E114" s="52">
        <f t="shared" si="19"/>
        <v>0</v>
      </c>
      <c r="F114" s="52">
        <f t="shared" si="19"/>
        <v>1</v>
      </c>
      <c r="G114" s="52">
        <f t="shared" si="19"/>
        <v>0</v>
      </c>
      <c r="H114" s="52">
        <f t="shared" si="19"/>
        <v>1</v>
      </c>
      <c r="I114" s="52">
        <f t="shared" si="19"/>
        <v>1</v>
      </c>
      <c r="J114" s="52">
        <f t="shared" si="19"/>
        <v>0</v>
      </c>
      <c r="K114" s="52">
        <f t="shared" si="19"/>
        <v>0</v>
      </c>
      <c r="L114" s="52">
        <f t="shared" si="19"/>
        <v>0</v>
      </c>
      <c r="M114" s="52">
        <f t="shared" si="20"/>
        <v>0</v>
      </c>
      <c r="N114" s="52">
        <f t="shared" si="20"/>
        <v>0</v>
      </c>
      <c r="O114" s="52">
        <f t="shared" si="20"/>
        <v>0</v>
      </c>
      <c r="P114" s="52">
        <f t="shared" si="20"/>
        <v>0</v>
      </c>
      <c r="Q114" s="52">
        <f t="shared" si="20"/>
        <v>0</v>
      </c>
      <c r="R114" s="52">
        <f t="shared" si="20"/>
        <v>1</v>
      </c>
      <c r="S114" s="52">
        <f t="shared" si="20"/>
        <v>1</v>
      </c>
      <c r="T114" s="52">
        <f t="shared" si="20"/>
        <v>0</v>
      </c>
      <c r="U114" s="52">
        <f t="shared" si="20"/>
        <v>0</v>
      </c>
      <c r="V114" s="52">
        <f t="shared" si="20"/>
        <v>1</v>
      </c>
      <c r="W114" s="52">
        <f t="shared" si="21"/>
        <v>0</v>
      </c>
      <c r="X114" s="52">
        <f t="shared" si="21"/>
        <v>1</v>
      </c>
      <c r="Y114" s="52">
        <f t="shared" si="21"/>
        <v>0</v>
      </c>
      <c r="Z114" s="52">
        <f t="shared" si="21"/>
        <v>0</v>
      </c>
      <c r="AA114" s="52">
        <f t="shared" si="21"/>
        <v>1</v>
      </c>
      <c r="AB114" s="52">
        <f t="shared" si="21"/>
        <v>0</v>
      </c>
      <c r="AC114" s="52">
        <f t="shared" si="21"/>
        <v>0</v>
      </c>
      <c r="AD114" s="52">
        <f t="shared" si="21"/>
        <v>0</v>
      </c>
      <c r="AE114" s="52">
        <f t="shared" si="21"/>
        <v>0</v>
      </c>
      <c r="AF114" s="52">
        <f t="shared" si="21"/>
        <v>0</v>
      </c>
      <c r="AG114" s="52">
        <f t="shared" si="22"/>
        <v>0</v>
      </c>
      <c r="AH114" s="52">
        <f t="shared" si="22"/>
        <v>0</v>
      </c>
      <c r="AI114" s="52">
        <f t="shared" si="22"/>
        <v>0</v>
      </c>
      <c r="AJ114" s="52">
        <f t="shared" si="22"/>
        <v>0</v>
      </c>
      <c r="AK114" s="52">
        <f t="shared" si="22"/>
        <v>0</v>
      </c>
      <c r="AL114" s="52">
        <f t="shared" si="22"/>
        <v>1</v>
      </c>
      <c r="AM114" s="52">
        <f t="shared" si="22"/>
        <v>1</v>
      </c>
      <c r="AN114" s="52">
        <f t="shared" si="22"/>
        <v>0</v>
      </c>
      <c r="AO114" s="52">
        <f t="shared" si="22"/>
        <v>0</v>
      </c>
      <c r="AP114" s="52">
        <f t="shared" si="22"/>
        <v>0</v>
      </c>
      <c r="AQ114" s="52">
        <f t="shared" si="23"/>
        <v>0</v>
      </c>
      <c r="AR114" s="52">
        <f t="shared" si="23"/>
        <v>0</v>
      </c>
      <c r="AS114" s="52">
        <f t="shared" si="23"/>
        <v>0</v>
      </c>
      <c r="AT114" s="52">
        <f t="shared" si="23"/>
        <v>0</v>
      </c>
      <c r="AU114" s="52">
        <f t="shared" si="23"/>
        <v>0</v>
      </c>
      <c r="AV114" s="52">
        <f t="shared" si="23"/>
        <v>0</v>
      </c>
      <c r="AW114" s="52">
        <f t="shared" si="23"/>
        <v>0</v>
      </c>
      <c r="AX114" s="52">
        <f t="shared" si="23"/>
        <v>0</v>
      </c>
    </row>
    <row r="115" spans="2:50" x14ac:dyDescent="0.2">
      <c r="B115" s="47">
        <v>26</v>
      </c>
      <c r="C115" s="52">
        <f t="shared" si="19"/>
        <v>1</v>
      </c>
      <c r="D115" s="52">
        <f t="shared" si="19"/>
        <v>0</v>
      </c>
      <c r="E115" s="52">
        <f t="shared" si="19"/>
        <v>1</v>
      </c>
      <c r="F115" s="52">
        <f t="shared" si="19"/>
        <v>1</v>
      </c>
      <c r="G115" s="52">
        <f t="shared" si="19"/>
        <v>0</v>
      </c>
      <c r="H115" s="52">
        <f t="shared" si="19"/>
        <v>0</v>
      </c>
      <c r="I115" s="52">
        <f t="shared" si="19"/>
        <v>1</v>
      </c>
      <c r="J115" s="52">
        <f t="shared" si="19"/>
        <v>1</v>
      </c>
      <c r="K115" s="52">
        <f t="shared" si="19"/>
        <v>1</v>
      </c>
      <c r="L115" s="52">
        <f t="shared" si="19"/>
        <v>1</v>
      </c>
      <c r="M115" s="52">
        <f t="shared" si="20"/>
        <v>0</v>
      </c>
      <c r="N115" s="52">
        <f t="shared" si="20"/>
        <v>0</v>
      </c>
      <c r="O115" s="52">
        <f t="shared" si="20"/>
        <v>0</v>
      </c>
      <c r="P115" s="52">
        <f t="shared" si="20"/>
        <v>1</v>
      </c>
      <c r="Q115" s="52">
        <f t="shared" si="20"/>
        <v>0</v>
      </c>
      <c r="R115" s="52">
        <f t="shared" si="20"/>
        <v>1</v>
      </c>
      <c r="S115" s="52">
        <f t="shared" si="20"/>
        <v>0</v>
      </c>
      <c r="T115" s="52">
        <f t="shared" si="20"/>
        <v>0</v>
      </c>
      <c r="U115" s="52">
        <f t="shared" si="20"/>
        <v>0</v>
      </c>
      <c r="V115" s="52">
        <f t="shared" si="20"/>
        <v>1</v>
      </c>
      <c r="W115" s="52">
        <f t="shared" si="21"/>
        <v>0</v>
      </c>
      <c r="X115" s="52">
        <f t="shared" si="21"/>
        <v>1</v>
      </c>
      <c r="Y115" s="52">
        <f t="shared" si="21"/>
        <v>0</v>
      </c>
      <c r="Z115" s="52">
        <f t="shared" si="21"/>
        <v>0</v>
      </c>
      <c r="AA115" s="52">
        <f t="shared" si="21"/>
        <v>0</v>
      </c>
      <c r="AB115" s="52">
        <f t="shared" si="21"/>
        <v>1</v>
      </c>
      <c r="AC115" s="52">
        <f t="shared" si="21"/>
        <v>1</v>
      </c>
      <c r="AD115" s="52">
        <f t="shared" si="21"/>
        <v>0</v>
      </c>
      <c r="AE115" s="52">
        <f t="shared" si="21"/>
        <v>1</v>
      </c>
      <c r="AF115" s="52">
        <f t="shared" si="21"/>
        <v>1</v>
      </c>
      <c r="AG115" s="52">
        <f t="shared" si="22"/>
        <v>1</v>
      </c>
      <c r="AH115" s="52">
        <f t="shared" si="22"/>
        <v>0</v>
      </c>
      <c r="AI115" s="52">
        <f t="shared" si="22"/>
        <v>0</v>
      </c>
      <c r="AJ115" s="52">
        <f t="shared" si="22"/>
        <v>0</v>
      </c>
      <c r="AK115" s="52">
        <f t="shared" si="22"/>
        <v>1</v>
      </c>
      <c r="AL115" s="52">
        <f t="shared" si="22"/>
        <v>1</v>
      </c>
      <c r="AM115" s="52">
        <f t="shared" si="22"/>
        <v>1</v>
      </c>
      <c r="AN115" s="52">
        <f t="shared" si="22"/>
        <v>0</v>
      </c>
      <c r="AO115" s="52">
        <f t="shared" si="22"/>
        <v>1</v>
      </c>
      <c r="AP115" s="52">
        <f t="shared" si="22"/>
        <v>0</v>
      </c>
      <c r="AQ115" s="52">
        <f t="shared" si="23"/>
        <v>1</v>
      </c>
      <c r="AR115" s="52">
        <f t="shared" si="23"/>
        <v>0</v>
      </c>
      <c r="AS115" s="52">
        <f t="shared" si="23"/>
        <v>0</v>
      </c>
      <c r="AT115" s="52">
        <f t="shared" si="23"/>
        <v>1</v>
      </c>
      <c r="AU115" s="52">
        <f t="shared" si="23"/>
        <v>1</v>
      </c>
      <c r="AV115" s="52">
        <f t="shared" si="23"/>
        <v>0</v>
      </c>
      <c r="AW115" s="52">
        <f t="shared" si="23"/>
        <v>1</v>
      </c>
      <c r="AX115" s="52">
        <f t="shared" si="23"/>
        <v>1</v>
      </c>
    </row>
    <row r="116" spans="2:50" x14ac:dyDescent="0.2">
      <c r="B116" s="47">
        <v>27</v>
      </c>
      <c r="C116" s="52">
        <f t="shared" si="19"/>
        <v>0</v>
      </c>
      <c r="D116" s="52">
        <f t="shared" si="19"/>
        <v>0</v>
      </c>
      <c r="E116" s="52">
        <f t="shared" si="19"/>
        <v>0</v>
      </c>
      <c r="F116" s="52">
        <f t="shared" si="19"/>
        <v>0</v>
      </c>
      <c r="G116" s="52">
        <f t="shared" si="19"/>
        <v>0</v>
      </c>
      <c r="H116" s="52">
        <f t="shared" si="19"/>
        <v>0</v>
      </c>
      <c r="I116" s="52">
        <f t="shared" si="19"/>
        <v>1</v>
      </c>
      <c r="J116" s="52">
        <f t="shared" si="19"/>
        <v>0</v>
      </c>
      <c r="K116" s="52">
        <f t="shared" si="19"/>
        <v>1</v>
      </c>
      <c r="L116" s="52">
        <f t="shared" si="19"/>
        <v>0</v>
      </c>
      <c r="M116" s="52">
        <f t="shared" si="20"/>
        <v>0</v>
      </c>
      <c r="N116" s="52">
        <f t="shared" si="20"/>
        <v>0</v>
      </c>
      <c r="O116" s="52">
        <f t="shared" si="20"/>
        <v>0</v>
      </c>
      <c r="P116" s="52">
        <f t="shared" si="20"/>
        <v>1</v>
      </c>
      <c r="Q116" s="52">
        <f t="shared" si="20"/>
        <v>1</v>
      </c>
      <c r="R116" s="52">
        <f t="shared" si="20"/>
        <v>1</v>
      </c>
      <c r="S116" s="52">
        <f t="shared" si="20"/>
        <v>0</v>
      </c>
      <c r="T116" s="52">
        <f t="shared" si="20"/>
        <v>0</v>
      </c>
      <c r="U116" s="52">
        <f t="shared" si="20"/>
        <v>0</v>
      </c>
      <c r="V116" s="52">
        <f t="shared" si="20"/>
        <v>0</v>
      </c>
      <c r="W116" s="52">
        <f t="shared" si="21"/>
        <v>0</v>
      </c>
      <c r="X116" s="52">
        <f t="shared" si="21"/>
        <v>0</v>
      </c>
      <c r="Y116" s="52">
        <f t="shared" si="21"/>
        <v>0</v>
      </c>
      <c r="Z116" s="52">
        <f t="shared" si="21"/>
        <v>0</v>
      </c>
      <c r="AA116" s="52">
        <f t="shared" si="21"/>
        <v>0</v>
      </c>
      <c r="AB116" s="52">
        <f t="shared" si="21"/>
        <v>1</v>
      </c>
      <c r="AC116" s="52">
        <f t="shared" si="21"/>
        <v>1</v>
      </c>
      <c r="AD116" s="52">
        <f t="shared" si="21"/>
        <v>0</v>
      </c>
      <c r="AE116" s="52">
        <f t="shared" si="21"/>
        <v>0</v>
      </c>
      <c r="AF116" s="52">
        <f t="shared" si="21"/>
        <v>0</v>
      </c>
      <c r="AG116" s="52">
        <f t="shared" si="22"/>
        <v>1</v>
      </c>
      <c r="AH116" s="52">
        <f t="shared" si="22"/>
        <v>1</v>
      </c>
      <c r="AI116" s="52">
        <f t="shared" si="22"/>
        <v>0</v>
      </c>
      <c r="AJ116" s="52">
        <f t="shared" si="22"/>
        <v>1</v>
      </c>
      <c r="AK116" s="52">
        <f t="shared" si="22"/>
        <v>0</v>
      </c>
      <c r="AL116" s="52">
        <f t="shared" si="22"/>
        <v>0</v>
      </c>
      <c r="AM116" s="52">
        <f t="shared" si="22"/>
        <v>0</v>
      </c>
      <c r="AN116" s="52">
        <f t="shared" si="22"/>
        <v>1</v>
      </c>
      <c r="AO116" s="52">
        <f t="shared" si="22"/>
        <v>1</v>
      </c>
      <c r="AP116" s="52">
        <f t="shared" si="22"/>
        <v>0</v>
      </c>
      <c r="AQ116" s="52">
        <f t="shared" si="23"/>
        <v>0</v>
      </c>
      <c r="AR116" s="52">
        <f t="shared" si="23"/>
        <v>0</v>
      </c>
      <c r="AS116" s="52">
        <f t="shared" si="23"/>
        <v>0</v>
      </c>
      <c r="AT116" s="52">
        <f t="shared" si="23"/>
        <v>0</v>
      </c>
      <c r="AU116" s="52">
        <f t="shared" si="23"/>
        <v>0</v>
      </c>
      <c r="AV116" s="52">
        <f t="shared" si="23"/>
        <v>0</v>
      </c>
      <c r="AW116" s="52">
        <f t="shared" si="23"/>
        <v>0</v>
      </c>
      <c r="AX116" s="52">
        <f t="shared" si="23"/>
        <v>1</v>
      </c>
    </row>
    <row r="117" spans="2:50" x14ac:dyDescent="0.2">
      <c r="B117" s="47">
        <v>28</v>
      </c>
      <c r="C117" s="52">
        <f t="shared" si="19"/>
        <v>0</v>
      </c>
      <c r="D117" s="52">
        <f t="shared" si="19"/>
        <v>1</v>
      </c>
      <c r="E117" s="52">
        <f t="shared" si="19"/>
        <v>1</v>
      </c>
      <c r="F117" s="52">
        <f t="shared" si="19"/>
        <v>1</v>
      </c>
      <c r="G117" s="52">
        <f t="shared" si="19"/>
        <v>0</v>
      </c>
      <c r="H117" s="52">
        <f t="shared" si="19"/>
        <v>1</v>
      </c>
      <c r="I117" s="52">
        <f t="shared" si="19"/>
        <v>0</v>
      </c>
      <c r="J117" s="52">
        <f t="shared" si="19"/>
        <v>0</v>
      </c>
      <c r="K117" s="52">
        <f t="shared" si="19"/>
        <v>1</v>
      </c>
      <c r="L117" s="52">
        <f t="shared" si="19"/>
        <v>0</v>
      </c>
      <c r="M117" s="52">
        <f t="shared" si="20"/>
        <v>0</v>
      </c>
      <c r="N117" s="52">
        <f t="shared" si="20"/>
        <v>0</v>
      </c>
      <c r="O117" s="52">
        <f t="shared" si="20"/>
        <v>0</v>
      </c>
      <c r="P117" s="52">
        <f t="shared" si="20"/>
        <v>0</v>
      </c>
      <c r="Q117" s="52">
        <f t="shared" si="20"/>
        <v>1</v>
      </c>
      <c r="R117" s="52">
        <f t="shared" si="20"/>
        <v>0</v>
      </c>
      <c r="S117" s="52">
        <f t="shared" si="20"/>
        <v>1</v>
      </c>
      <c r="T117" s="52">
        <f t="shared" si="20"/>
        <v>0</v>
      </c>
      <c r="U117" s="52">
        <f t="shared" si="20"/>
        <v>0</v>
      </c>
      <c r="V117" s="52">
        <f t="shared" si="20"/>
        <v>0</v>
      </c>
      <c r="W117" s="52">
        <f t="shared" si="21"/>
        <v>1</v>
      </c>
      <c r="X117" s="52">
        <f t="shared" si="21"/>
        <v>0</v>
      </c>
      <c r="Y117" s="52">
        <f t="shared" si="21"/>
        <v>1</v>
      </c>
      <c r="Z117" s="52">
        <f t="shared" si="21"/>
        <v>0</v>
      </c>
      <c r="AA117" s="52">
        <f t="shared" si="21"/>
        <v>0</v>
      </c>
      <c r="AB117" s="52">
        <f t="shared" si="21"/>
        <v>0</v>
      </c>
      <c r="AC117" s="52">
        <f t="shared" si="21"/>
        <v>0</v>
      </c>
      <c r="AD117" s="52">
        <f t="shared" si="21"/>
        <v>1</v>
      </c>
      <c r="AE117" s="52">
        <f t="shared" si="21"/>
        <v>0</v>
      </c>
      <c r="AF117" s="52">
        <f t="shared" si="21"/>
        <v>1</v>
      </c>
      <c r="AG117" s="52">
        <f t="shared" si="22"/>
        <v>0</v>
      </c>
      <c r="AH117" s="52">
        <f t="shared" si="22"/>
        <v>1</v>
      </c>
      <c r="AI117" s="52">
        <f t="shared" si="22"/>
        <v>1</v>
      </c>
      <c r="AJ117" s="52">
        <f t="shared" si="22"/>
        <v>0</v>
      </c>
      <c r="AK117" s="52">
        <f t="shared" si="22"/>
        <v>0</v>
      </c>
      <c r="AL117" s="52">
        <f t="shared" si="22"/>
        <v>0</v>
      </c>
      <c r="AM117" s="52">
        <f t="shared" si="22"/>
        <v>0</v>
      </c>
      <c r="AN117" s="52">
        <f t="shared" si="22"/>
        <v>1</v>
      </c>
      <c r="AO117" s="52">
        <f t="shared" si="22"/>
        <v>1</v>
      </c>
      <c r="AP117" s="52">
        <f t="shared" si="22"/>
        <v>0</v>
      </c>
      <c r="AQ117" s="52">
        <f t="shared" si="23"/>
        <v>0</v>
      </c>
      <c r="AR117" s="52">
        <f t="shared" si="23"/>
        <v>1</v>
      </c>
      <c r="AS117" s="52">
        <f t="shared" si="23"/>
        <v>0</v>
      </c>
      <c r="AT117" s="52">
        <f t="shared" si="23"/>
        <v>0</v>
      </c>
      <c r="AU117" s="52">
        <f t="shared" si="23"/>
        <v>0</v>
      </c>
      <c r="AV117" s="52">
        <f t="shared" si="23"/>
        <v>0</v>
      </c>
      <c r="AW117" s="52">
        <f t="shared" si="23"/>
        <v>0</v>
      </c>
      <c r="AX117" s="52">
        <f t="shared" si="23"/>
        <v>0</v>
      </c>
    </row>
    <row r="118" spans="2:50" x14ac:dyDescent="0.2">
      <c r="B118" s="47">
        <v>29</v>
      </c>
      <c r="C118" s="52">
        <f t="shared" si="19"/>
        <v>0</v>
      </c>
      <c r="D118" s="52">
        <f t="shared" si="19"/>
        <v>1</v>
      </c>
      <c r="E118" s="52">
        <f t="shared" si="19"/>
        <v>0</v>
      </c>
      <c r="F118" s="52">
        <f t="shared" si="19"/>
        <v>1</v>
      </c>
      <c r="G118" s="52">
        <f t="shared" si="19"/>
        <v>0</v>
      </c>
      <c r="H118" s="52">
        <f t="shared" si="19"/>
        <v>1</v>
      </c>
      <c r="I118" s="52">
        <f t="shared" si="19"/>
        <v>0</v>
      </c>
      <c r="J118" s="52">
        <f t="shared" si="19"/>
        <v>0</v>
      </c>
      <c r="K118" s="52">
        <f t="shared" si="19"/>
        <v>0</v>
      </c>
      <c r="L118" s="52">
        <f t="shared" si="19"/>
        <v>1</v>
      </c>
      <c r="M118" s="52">
        <f t="shared" si="20"/>
        <v>0</v>
      </c>
      <c r="N118" s="52">
        <f t="shared" si="20"/>
        <v>0</v>
      </c>
      <c r="O118" s="52">
        <f t="shared" si="20"/>
        <v>0</v>
      </c>
      <c r="P118" s="52">
        <f t="shared" si="20"/>
        <v>0</v>
      </c>
      <c r="Q118" s="52">
        <f t="shared" si="20"/>
        <v>1</v>
      </c>
      <c r="R118" s="52">
        <f t="shared" si="20"/>
        <v>0</v>
      </c>
      <c r="S118" s="52">
        <f t="shared" si="20"/>
        <v>1</v>
      </c>
      <c r="T118" s="52">
        <f t="shared" si="20"/>
        <v>0</v>
      </c>
      <c r="U118" s="52">
        <f t="shared" si="20"/>
        <v>0</v>
      </c>
      <c r="V118" s="52">
        <f t="shared" si="20"/>
        <v>0</v>
      </c>
      <c r="W118" s="52">
        <f t="shared" si="21"/>
        <v>0</v>
      </c>
      <c r="X118" s="52">
        <f t="shared" si="21"/>
        <v>0</v>
      </c>
      <c r="Y118" s="52">
        <f t="shared" si="21"/>
        <v>0</v>
      </c>
      <c r="Z118" s="52">
        <f t="shared" si="21"/>
        <v>0</v>
      </c>
      <c r="AA118" s="52">
        <f t="shared" si="21"/>
        <v>0</v>
      </c>
      <c r="AB118" s="52">
        <f t="shared" si="21"/>
        <v>1</v>
      </c>
      <c r="AC118" s="52">
        <f t="shared" si="21"/>
        <v>0</v>
      </c>
      <c r="AD118" s="52">
        <f t="shared" si="21"/>
        <v>0</v>
      </c>
      <c r="AE118" s="52">
        <f t="shared" si="21"/>
        <v>1</v>
      </c>
      <c r="AF118" s="52">
        <f t="shared" si="21"/>
        <v>0</v>
      </c>
      <c r="AG118" s="52">
        <f t="shared" si="22"/>
        <v>1</v>
      </c>
      <c r="AH118" s="52">
        <f t="shared" si="22"/>
        <v>0</v>
      </c>
      <c r="AI118" s="52">
        <f t="shared" si="22"/>
        <v>0</v>
      </c>
      <c r="AJ118" s="52">
        <f t="shared" si="22"/>
        <v>0</v>
      </c>
      <c r="AK118" s="52">
        <f t="shared" si="22"/>
        <v>0</v>
      </c>
      <c r="AL118" s="52">
        <f t="shared" si="22"/>
        <v>1</v>
      </c>
      <c r="AM118" s="52">
        <f t="shared" si="22"/>
        <v>0</v>
      </c>
      <c r="AN118" s="52">
        <f t="shared" si="22"/>
        <v>0</v>
      </c>
      <c r="AO118" s="52">
        <f t="shared" si="22"/>
        <v>0</v>
      </c>
      <c r="AP118" s="52">
        <f t="shared" si="22"/>
        <v>1</v>
      </c>
      <c r="AQ118" s="52">
        <f t="shared" si="23"/>
        <v>0</v>
      </c>
      <c r="AR118" s="52">
        <f t="shared" si="23"/>
        <v>0</v>
      </c>
      <c r="AS118" s="52">
        <f t="shared" si="23"/>
        <v>0</v>
      </c>
      <c r="AT118" s="52">
        <f t="shared" si="23"/>
        <v>1</v>
      </c>
      <c r="AU118" s="52">
        <f t="shared" si="23"/>
        <v>1</v>
      </c>
      <c r="AV118" s="52">
        <f t="shared" si="23"/>
        <v>0</v>
      </c>
      <c r="AW118" s="52">
        <f t="shared" si="23"/>
        <v>0</v>
      </c>
      <c r="AX118" s="52">
        <f t="shared" si="23"/>
        <v>0</v>
      </c>
    </row>
    <row r="119" spans="2:50" x14ac:dyDescent="0.2">
      <c r="B119" s="47">
        <v>30</v>
      </c>
      <c r="C119" s="52">
        <f t="shared" si="19"/>
        <v>0</v>
      </c>
      <c r="D119" s="52">
        <f t="shared" si="19"/>
        <v>0</v>
      </c>
      <c r="E119" s="52">
        <f t="shared" si="19"/>
        <v>1</v>
      </c>
      <c r="F119" s="52">
        <f t="shared" si="19"/>
        <v>0</v>
      </c>
      <c r="G119" s="52">
        <f t="shared" si="19"/>
        <v>0</v>
      </c>
      <c r="H119" s="52">
        <f t="shared" si="19"/>
        <v>0</v>
      </c>
      <c r="I119" s="52">
        <f t="shared" si="19"/>
        <v>0</v>
      </c>
      <c r="J119" s="52">
        <f t="shared" si="19"/>
        <v>0</v>
      </c>
      <c r="K119" s="52">
        <f t="shared" si="19"/>
        <v>0</v>
      </c>
      <c r="L119" s="52">
        <f t="shared" si="19"/>
        <v>0</v>
      </c>
      <c r="M119" s="52">
        <f t="shared" si="20"/>
        <v>0</v>
      </c>
      <c r="N119" s="52">
        <f t="shared" si="20"/>
        <v>0</v>
      </c>
      <c r="O119" s="52">
        <f t="shared" si="20"/>
        <v>1</v>
      </c>
      <c r="P119" s="52">
        <f t="shared" si="20"/>
        <v>0</v>
      </c>
      <c r="Q119" s="52">
        <f t="shared" si="20"/>
        <v>0</v>
      </c>
      <c r="R119" s="52">
        <f t="shared" si="20"/>
        <v>0</v>
      </c>
      <c r="S119" s="52">
        <f t="shared" si="20"/>
        <v>0</v>
      </c>
      <c r="T119" s="52">
        <f t="shared" si="20"/>
        <v>0</v>
      </c>
      <c r="U119" s="52">
        <f t="shared" si="20"/>
        <v>0</v>
      </c>
      <c r="V119" s="52">
        <f t="shared" si="20"/>
        <v>1</v>
      </c>
      <c r="W119" s="52">
        <f t="shared" si="21"/>
        <v>0</v>
      </c>
      <c r="X119" s="52">
        <f t="shared" si="21"/>
        <v>1</v>
      </c>
      <c r="Y119" s="52">
        <f t="shared" si="21"/>
        <v>0</v>
      </c>
      <c r="Z119" s="52">
        <f t="shared" si="21"/>
        <v>0</v>
      </c>
      <c r="AA119" s="52">
        <f t="shared" si="21"/>
        <v>0</v>
      </c>
      <c r="AB119" s="52">
        <f t="shared" si="21"/>
        <v>1</v>
      </c>
      <c r="AC119" s="52">
        <f t="shared" si="21"/>
        <v>0</v>
      </c>
      <c r="AD119" s="52">
        <f t="shared" si="21"/>
        <v>1</v>
      </c>
      <c r="AE119" s="52">
        <f t="shared" si="21"/>
        <v>0</v>
      </c>
      <c r="AF119" s="52">
        <f t="shared" si="21"/>
        <v>1</v>
      </c>
      <c r="AG119" s="52">
        <f t="shared" si="22"/>
        <v>0</v>
      </c>
      <c r="AH119" s="52">
        <f t="shared" si="22"/>
        <v>0</v>
      </c>
      <c r="AI119" s="52">
        <f t="shared" si="22"/>
        <v>0</v>
      </c>
      <c r="AJ119" s="52">
        <f t="shared" si="22"/>
        <v>0</v>
      </c>
      <c r="AK119" s="52">
        <f t="shared" si="22"/>
        <v>0</v>
      </c>
      <c r="AL119" s="52">
        <f t="shared" si="22"/>
        <v>1</v>
      </c>
      <c r="AM119" s="52">
        <f t="shared" si="22"/>
        <v>0</v>
      </c>
      <c r="AN119" s="52">
        <f t="shared" si="22"/>
        <v>1</v>
      </c>
      <c r="AO119" s="52">
        <f t="shared" si="22"/>
        <v>1</v>
      </c>
      <c r="AP119" s="52">
        <f t="shared" si="22"/>
        <v>1</v>
      </c>
      <c r="AQ119" s="52">
        <f t="shared" si="23"/>
        <v>0</v>
      </c>
      <c r="AR119" s="52">
        <f t="shared" si="23"/>
        <v>0</v>
      </c>
      <c r="AS119" s="52">
        <f t="shared" si="23"/>
        <v>0</v>
      </c>
      <c r="AT119" s="52">
        <f t="shared" si="23"/>
        <v>0</v>
      </c>
      <c r="AU119" s="52">
        <f t="shared" si="23"/>
        <v>1</v>
      </c>
      <c r="AV119" s="52">
        <f t="shared" si="23"/>
        <v>0</v>
      </c>
      <c r="AW119" s="52">
        <f t="shared" si="23"/>
        <v>1</v>
      </c>
      <c r="AX119" s="52">
        <f t="shared" si="23"/>
        <v>0</v>
      </c>
    </row>
    <row r="120" spans="2:50" x14ac:dyDescent="0.2">
      <c r="B120" s="47">
        <v>31</v>
      </c>
      <c r="C120" s="52">
        <f t="shared" ref="C120:L129" si="24">eventClash(C$89,$B120, eventStudent)</f>
        <v>0</v>
      </c>
      <c r="D120" s="52">
        <f t="shared" si="24"/>
        <v>0</v>
      </c>
      <c r="E120" s="52">
        <f t="shared" si="24"/>
        <v>0</v>
      </c>
      <c r="F120" s="52">
        <f t="shared" si="24"/>
        <v>0</v>
      </c>
      <c r="G120" s="52">
        <f t="shared" si="24"/>
        <v>0</v>
      </c>
      <c r="H120" s="52">
        <f t="shared" si="24"/>
        <v>1</v>
      </c>
      <c r="I120" s="52">
        <f t="shared" si="24"/>
        <v>0</v>
      </c>
      <c r="J120" s="52">
        <f t="shared" si="24"/>
        <v>0</v>
      </c>
      <c r="K120" s="52">
        <f t="shared" si="24"/>
        <v>1</v>
      </c>
      <c r="L120" s="52">
        <f t="shared" si="24"/>
        <v>1</v>
      </c>
      <c r="M120" s="52">
        <f t="shared" ref="M120:V129" si="25">eventClash(M$89,$B120, eventStudent)</f>
        <v>0</v>
      </c>
      <c r="N120" s="52">
        <f t="shared" si="25"/>
        <v>0</v>
      </c>
      <c r="O120" s="52">
        <f t="shared" si="25"/>
        <v>0</v>
      </c>
      <c r="P120" s="52">
        <f t="shared" si="25"/>
        <v>0</v>
      </c>
      <c r="Q120" s="52">
        <f t="shared" si="25"/>
        <v>0</v>
      </c>
      <c r="R120" s="52">
        <f t="shared" si="25"/>
        <v>0</v>
      </c>
      <c r="S120" s="52">
        <f t="shared" si="25"/>
        <v>0</v>
      </c>
      <c r="T120" s="52">
        <f t="shared" si="25"/>
        <v>1</v>
      </c>
      <c r="U120" s="52">
        <f t="shared" si="25"/>
        <v>0</v>
      </c>
      <c r="V120" s="52">
        <f t="shared" si="25"/>
        <v>0</v>
      </c>
      <c r="W120" s="52">
        <f t="shared" ref="W120:AF129" si="26">eventClash(W$89,$B120, eventStudent)</f>
        <v>0</v>
      </c>
      <c r="X120" s="52">
        <f t="shared" si="26"/>
        <v>0</v>
      </c>
      <c r="Y120" s="52">
        <f t="shared" si="26"/>
        <v>0</v>
      </c>
      <c r="Z120" s="52">
        <f t="shared" si="26"/>
        <v>1</v>
      </c>
      <c r="AA120" s="52">
        <f t="shared" si="26"/>
        <v>0</v>
      </c>
      <c r="AB120" s="52">
        <f t="shared" si="26"/>
        <v>1</v>
      </c>
      <c r="AC120" s="52">
        <f t="shared" si="26"/>
        <v>1</v>
      </c>
      <c r="AD120" s="52">
        <f t="shared" si="26"/>
        <v>0</v>
      </c>
      <c r="AE120" s="52">
        <f t="shared" si="26"/>
        <v>1</v>
      </c>
      <c r="AF120" s="52">
        <f t="shared" si="26"/>
        <v>0</v>
      </c>
      <c r="AG120" s="52">
        <f t="shared" ref="AG120:AP129" si="27">eventClash(AG$89,$B120, eventStudent)</f>
        <v>1</v>
      </c>
      <c r="AH120" s="52">
        <f t="shared" si="27"/>
        <v>0</v>
      </c>
      <c r="AI120" s="52">
        <f t="shared" si="27"/>
        <v>0</v>
      </c>
      <c r="AJ120" s="52">
        <f t="shared" si="27"/>
        <v>1</v>
      </c>
      <c r="AK120" s="52">
        <f t="shared" si="27"/>
        <v>1</v>
      </c>
      <c r="AL120" s="52">
        <f t="shared" si="27"/>
        <v>1</v>
      </c>
      <c r="AM120" s="52">
        <f t="shared" si="27"/>
        <v>0</v>
      </c>
      <c r="AN120" s="52">
        <f t="shared" si="27"/>
        <v>0</v>
      </c>
      <c r="AO120" s="52">
        <f t="shared" si="27"/>
        <v>0</v>
      </c>
      <c r="AP120" s="52">
        <f t="shared" si="27"/>
        <v>0</v>
      </c>
      <c r="AQ120" s="52">
        <f t="shared" ref="AQ120:AX129" si="28">eventClash(AQ$89,$B120, eventStudent)</f>
        <v>0</v>
      </c>
      <c r="AR120" s="52">
        <f t="shared" si="28"/>
        <v>0</v>
      </c>
      <c r="AS120" s="52">
        <f t="shared" si="28"/>
        <v>0</v>
      </c>
      <c r="AT120" s="52">
        <f t="shared" si="28"/>
        <v>0</v>
      </c>
      <c r="AU120" s="52">
        <f t="shared" si="28"/>
        <v>1</v>
      </c>
      <c r="AV120" s="52">
        <f t="shared" si="28"/>
        <v>0</v>
      </c>
      <c r="AW120" s="52">
        <f t="shared" si="28"/>
        <v>1</v>
      </c>
      <c r="AX120" s="52">
        <f t="shared" si="28"/>
        <v>0</v>
      </c>
    </row>
    <row r="121" spans="2:50" x14ac:dyDescent="0.2">
      <c r="B121" s="47">
        <v>32</v>
      </c>
      <c r="C121" s="52">
        <f t="shared" si="24"/>
        <v>0</v>
      </c>
      <c r="D121" s="52">
        <f t="shared" si="24"/>
        <v>1</v>
      </c>
      <c r="E121" s="52">
        <f t="shared" si="24"/>
        <v>0</v>
      </c>
      <c r="F121" s="52">
        <f t="shared" si="24"/>
        <v>0</v>
      </c>
      <c r="G121" s="52">
        <f t="shared" si="24"/>
        <v>0</v>
      </c>
      <c r="H121" s="52">
        <f t="shared" si="24"/>
        <v>0</v>
      </c>
      <c r="I121" s="52">
        <f t="shared" si="24"/>
        <v>0</v>
      </c>
      <c r="J121" s="52">
        <f t="shared" si="24"/>
        <v>0</v>
      </c>
      <c r="K121" s="52">
        <f t="shared" si="24"/>
        <v>1</v>
      </c>
      <c r="L121" s="52">
        <f t="shared" si="24"/>
        <v>0</v>
      </c>
      <c r="M121" s="52">
        <f t="shared" si="25"/>
        <v>0</v>
      </c>
      <c r="N121" s="52">
        <f t="shared" si="25"/>
        <v>0</v>
      </c>
      <c r="O121" s="52">
        <f t="shared" si="25"/>
        <v>0</v>
      </c>
      <c r="P121" s="52">
        <f t="shared" si="25"/>
        <v>1</v>
      </c>
      <c r="Q121" s="52">
        <f t="shared" si="25"/>
        <v>1</v>
      </c>
      <c r="R121" s="52">
        <f t="shared" si="25"/>
        <v>0</v>
      </c>
      <c r="S121" s="52">
        <f t="shared" si="25"/>
        <v>0</v>
      </c>
      <c r="T121" s="52">
        <f t="shared" si="25"/>
        <v>0</v>
      </c>
      <c r="U121" s="52">
        <f t="shared" si="25"/>
        <v>0</v>
      </c>
      <c r="V121" s="52">
        <f t="shared" si="25"/>
        <v>0</v>
      </c>
      <c r="W121" s="52">
        <f t="shared" si="26"/>
        <v>0</v>
      </c>
      <c r="X121" s="52">
        <f t="shared" si="26"/>
        <v>0</v>
      </c>
      <c r="Y121" s="52">
        <f t="shared" si="26"/>
        <v>0</v>
      </c>
      <c r="Z121" s="52">
        <f t="shared" si="26"/>
        <v>0</v>
      </c>
      <c r="AA121" s="52">
        <f t="shared" si="26"/>
        <v>0</v>
      </c>
      <c r="AB121" s="52">
        <f t="shared" si="26"/>
        <v>0</v>
      </c>
      <c r="AC121" s="52">
        <f t="shared" si="26"/>
        <v>1</v>
      </c>
      <c r="AD121" s="52">
        <f t="shared" si="26"/>
        <v>1</v>
      </c>
      <c r="AE121" s="52">
        <f t="shared" si="26"/>
        <v>0</v>
      </c>
      <c r="AF121" s="52">
        <f t="shared" si="26"/>
        <v>0</v>
      </c>
      <c r="AG121" s="52">
        <f t="shared" si="27"/>
        <v>0</v>
      </c>
      <c r="AH121" s="52">
        <f t="shared" si="27"/>
        <v>1</v>
      </c>
      <c r="AI121" s="52">
        <f t="shared" si="27"/>
        <v>0</v>
      </c>
      <c r="AJ121" s="52">
        <f t="shared" si="27"/>
        <v>0</v>
      </c>
      <c r="AK121" s="52">
        <f t="shared" si="27"/>
        <v>0</v>
      </c>
      <c r="AL121" s="52">
        <f t="shared" si="27"/>
        <v>0</v>
      </c>
      <c r="AM121" s="52">
        <f t="shared" si="27"/>
        <v>0</v>
      </c>
      <c r="AN121" s="52">
        <f t="shared" si="27"/>
        <v>1</v>
      </c>
      <c r="AO121" s="52">
        <f t="shared" si="27"/>
        <v>0</v>
      </c>
      <c r="AP121" s="52">
        <f t="shared" si="27"/>
        <v>0</v>
      </c>
      <c r="AQ121" s="52">
        <f t="shared" si="28"/>
        <v>1</v>
      </c>
      <c r="AR121" s="52">
        <f t="shared" si="28"/>
        <v>0</v>
      </c>
      <c r="AS121" s="52">
        <f t="shared" si="28"/>
        <v>0</v>
      </c>
      <c r="AT121" s="52">
        <f t="shared" si="28"/>
        <v>0</v>
      </c>
      <c r="AU121" s="52">
        <f t="shared" si="28"/>
        <v>0</v>
      </c>
      <c r="AV121" s="52">
        <f t="shared" si="28"/>
        <v>0</v>
      </c>
      <c r="AW121" s="52">
        <f t="shared" si="28"/>
        <v>0</v>
      </c>
      <c r="AX121" s="52">
        <f t="shared" si="28"/>
        <v>0</v>
      </c>
    </row>
    <row r="122" spans="2:50" x14ac:dyDescent="0.2">
      <c r="B122" s="47">
        <v>33</v>
      </c>
      <c r="C122" s="52">
        <f t="shared" si="24"/>
        <v>0</v>
      </c>
      <c r="D122" s="52">
        <f t="shared" si="24"/>
        <v>0</v>
      </c>
      <c r="E122" s="52">
        <f t="shared" si="24"/>
        <v>1</v>
      </c>
      <c r="F122" s="52">
        <f t="shared" si="24"/>
        <v>0</v>
      </c>
      <c r="G122" s="52">
        <f t="shared" si="24"/>
        <v>0</v>
      </c>
      <c r="H122" s="52">
        <f t="shared" si="24"/>
        <v>0</v>
      </c>
      <c r="I122" s="52">
        <f t="shared" si="24"/>
        <v>0</v>
      </c>
      <c r="J122" s="52">
        <f t="shared" si="24"/>
        <v>0</v>
      </c>
      <c r="K122" s="52">
        <f t="shared" si="24"/>
        <v>0</v>
      </c>
      <c r="L122" s="52">
        <f t="shared" si="24"/>
        <v>0</v>
      </c>
      <c r="M122" s="52">
        <f t="shared" si="25"/>
        <v>0</v>
      </c>
      <c r="N122" s="52">
        <f t="shared" si="25"/>
        <v>0</v>
      </c>
      <c r="O122" s="52">
        <f t="shared" si="25"/>
        <v>1</v>
      </c>
      <c r="P122" s="52">
        <f t="shared" si="25"/>
        <v>0</v>
      </c>
      <c r="Q122" s="52">
        <f t="shared" si="25"/>
        <v>0</v>
      </c>
      <c r="R122" s="52">
        <f t="shared" si="25"/>
        <v>0</v>
      </c>
      <c r="S122" s="52">
        <f t="shared" si="25"/>
        <v>0</v>
      </c>
      <c r="T122" s="52">
        <f t="shared" si="25"/>
        <v>0</v>
      </c>
      <c r="U122" s="52">
        <f t="shared" si="25"/>
        <v>0</v>
      </c>
      <c r="V122" s="52">
        <f t="shared" si="25"/>
        <v>0</v>
      </c>
      <c r="W122" s="52">
        <f t="shared" si="26"/>
        <v>1</v>
      </c>
      <c r="X122" s="52">
        <f t="shared" si="26"/>
        <v>0</v>
      </c>
      <c r="Y122" s="52">
        <f t="shared" si="26"/>
        <v>0</v>
      </c>
      <c r="Z122" s="52">
        <f t="shared" si="26"/>
        <v>0</v>
      </c>
      <c r="AA122" s="52">
        <f t="shared" si="26"/>
        <v>0</v>
      </c>
      <c r="AB122" s="52">
        <f t="shared" si="26"/>
        <v>0</v>
      </c>
      <c r="AC122" s="52">
        <f t="shared" si="26"/>
        <v>0</v>
      </c>
      <c r="AD122" s="52">
        <f t="shared" si="26"/>
        <v>1</v>
      </c>
      <c r="AE122" s="52">
        <f t="shared" si="26"/>
        <v>0</v>
      </c>
      <c r="AF122" s="52">
        <f t="shared" si="26"/>
        <v>0</v>
      </c>
      <c r="AG122" s="52">
        <f t="shared" si="27"/>
        <v>0</v>
      </c>
      <c r="AH122" s="52">
        <f t="shared" si="27"/>
        <v>0</v>
      </c>
      <c r="AI122" s="52">
        <f t="shared" si="27"/>
        <v>1</v>
      </c>
      <c r="AJ122" s="52">
        <f t="shared" si="27"/>
        <v>0</v>
      </c>
      <c r="AK122" s="52">
        <f t="shared" si="27"/>
        <v>0</v>
      </c>
      <c r="AL122" s="52">
        <f t="shared" si="27"/>
        <v>0</v>
      </c>
      <c r="AM122" s="52">
        <f t="shared" si="27"/>
        <v>0</v>
      </c>
      <c r="AN122" s="52">
        <f t="shared" si="27"/>
        <v>0</v>
      </c>
      <c r="AO122" s="52">
        <f t="shared" si="27"/>
        <v>0</v>
      </c>
      <c r="AP122" s="52">
        <f t="shared" si="27"/>
        <v>0</v>
      </c>
      <c r="AQ122" s="52">
        <f t="shared" si="28"/>
        <v>0</v>
      </c>
      <c r="AR122" s="52">
        <f t="shared" si="28"/>
        <v>1</v>
      </c>
      <c r="AS122" s="52">
        <f t="shared" si="28"/>
        <v>0</v>
      </c>
      <c r="AT122" s="52">
        <f t="shared" si="28"/>
        <v>0</v>
      </c>
      <c r="AU122" s="52">
        <f t="shared" si="28"/>
        <v>0</v>
      </c>
      <c r="AV122" s="52">
        <f t="shared" si="28"/>
        <v>0</v>
      </c>
      <c r="AW122" s="52">
        <f t="shared" si="28"/>
        <v>1</v>
      </c>
      <c r="AX122" s="52">
        <f t="shared" si="28"/>
        <v>0</v>
      </c>
    </row>
    <row r="123" spans="2:50" x14ac:dyDescent="0.2">
      <c r="B123" s="47">
        <v>34</v>
      </c>
      <c r="C123" s="52">
        <f t="shared" si="24"/>
        <v>0</v>
      </c>
      <c r="D123" s="52">
        <f t="shared" si="24"/>
        <v>0</v>
      </c>
      <c r="E123" s="52">
        <f t="shared" si="24"/>
        <v>0</v>
      </c>
      <c r="F123" s="52">
        <f t="shared" si="24"/>
        <v>0</v>
      </c>
      <c r="G123" s="52">
        <f t="shared" si="24"/>
        <v>0</v>
      </c>
      <c r="H123" s="52">
        <f t="shared" si="24"/>
        <v>0</v>
      </c>
      <c r="I123" s="52">
        <f t="shared" si="24"/>
        <v>0</v>
      </c>
      <c r="J123" s="52">
        <f t="shared" si="24"/>
        <v>0</v>
      </c>
      <c r="K123" s="52">
        <f t="shared" si="24"/>
        <v>1</v>
      </c>
      <c r="L123" s="52">
        <f t="shared" si="24"/>
        <v>0</v>
      </c>
      <c r="M123" s="52">
        <f t="shared" si="25"/>
        <v>0</v>
      </c>
      <c r="N123" s="52">
        <f t="shared" si="25"/>
        <v>0</v>
      </c>
      <c r="O123" s="52">
        <f t="shared" si="25"/>
        <v>0</v>
      </c>
      <c r="P123" s="52">
        <f t="shared" si="25"/>
        <v>0</v>
      </c>
      <c r="Q123" s="52">
        <f t="shared" si="25"/>
        <v>0</v>
      </c>
      <c r="R123" s="52">
        <f t="shared" si="25"/>
        <v>0</v>
      </c>
      <c r="S123" s="52">
        <f t="shared" si="25"/>
        <v>1</v>
      </c>
      <c r="T123" s="52">
        <f t="shared" si="25"/>
        <v>1</v>
      </c>
      <c r="U123" s="52">
        <f t="shared" si="25"/>
        <v>0</v>
      </c>
      <c r="V123" s="52">
        <f t="shared" si="25"/>
        <v>0</v>
      </c>
      <c r="W123" s="52">
        <f t="shared" si="26"/>
        <v>0</v>
      </c>
      <c r="X123" s="52">
        <f t="shared" si="26"/>
        <v>1</v>
      </c>
      <c r="Y123" s="52">
        <f t="shared" si="26"/>
        <v>0</v>
      </c>
      <c r="Z123" s="52">
        <f t="shared" si="26"/>
        <v>0</v>
      </c>
      <c r="AA123" s="52">
        <f t="shared" si="26"/>
        <v>0</v>
      </c>
      <c r="AB123" s="52">
        <f t="shared" si="26"/>
        <v>0</v>
      </c>
      <c r="AC123" s="52">
        <f t="shared" si="26"/>
        <v>1</v>
      </c>
      <c r="AD123" s="52">
        <f t="shared" si="26"/>
        <v>0</v>
      </c>
      <c r="AE123" s="52">
        <f t="shared" si="26"/>
        <v>0</v>
      </c>
      <c r="AF123" s="52">
        <f t="shared" si="26"/>
        <v>0</v>
      </c>
      <c r="AG123" s="52">
        <f t="shared" si="27"/>
        <v>1</v>
      </c>
      <c r="AH123" s="52">
        <f t="shared" si="27"/>
        <v>0</v>
      </c>
      <c r="AI123" s="52">
        <f t="shared" si="27"/>
        <v>0</v>
      </c>
      <c r="AJ123" s="52">
        <f t="shared" si="27"/>
        <v>1</v>
      </c>
      <c r="AK123" s="52">
        <f t="shared" si="27"/>
        <v>0</v>
      </c>
      <c r="AL123" s="52">
        <f t="shared" si="27"/>
        <v>0</v>
      </c>
      <c r="AM123" s="52">
        <f t="shared" si="27"/>
        <v>1</v>
      </c>
      <c r="AN123" s="52">
        <f t="shared" si="27"/>
        <v>0</v>
      </c>
      <c r="AO123" s="52">
        <f t="shared" si="27"/>
        <v>0</v>
      </c>
      <c r="AP123" s="52">
        <f t="shared" si="27"/>
        <v>1</v>
      </c>
      <c r="AQ123" s="52">
        <f t="shared" si="28"/>
        <v>0</v>
      </c>
      <c r="AR123" s="52">
        <f t="shared" si="28"/>
        <v>0</v>
      </c>
      <c r="AS123" s="52">
        <f t="shared" si="28"/>
        <v>0</v>
      </c>
      <c r="AT123" s="52">
        <f t="shared" si="28"/>
        <v>0</v>
      </c>
      <c r="AU123" s="52">
        <f t="shared" si="28"/>
        <v>0</v>
      </c>
      <c r="AV123" s="52">
        <f t="shared" si="28"/>
        <v>0</v>
      </c>
      <c r="AW123" s="52">
        <f t="shared" si="28"/>
        <v>0</v>
      </c>
      <c r="AX123" s="52">
        <f t="shared" si="28"/>
        <v>0</v>
      </c>
    </row>
    <row r="124" spans="2:50" x14ac:dyDescent="0.2">
      <c r="B124" s="47">
        <v>35</v>
      </c>
      <c r="C124" s="52">
        <f t="shared" si="24"/>
        <v>0</v>
      </c>
      <c r="D124" s="52">
        <f t="shared" si="24"/>
        <v>0</v>
      </c>
      <c r="E124" s="52">
        <f t="shared" si="24"/>
        <v>1</v>
      </c>
      <c r="F124" s="52">
        <f t="shared" si="24"/>
        <v>0</v>
      </c>
      <c r="G124" s="52">
        <f t="shared" si="24"/>
        <v>0</v>
      </c>
      <c r="H124" s="52">
        <f t="shared" si="24"/>
        <v>0</v>
      </c>
      <c r="I124" s="52">
        <f t="shared" si="24"/>
        <v>0</v>
      </c>
      <c r="J124" s="52">
        <f t="shared" si="24"/>
        <v>1</v>
      </c>
      <c r="K124" s="52">
        <f t="shared" si="24"/>
        <v>1</v>
      </c>
      <c r="L124" s="52">
        <f t="shared" si="24"/>
        <v>1</v>
      </c>
      <c r="M124" s="52">
        <f t="shared" si="25"/>
        <v>0</v>
      </c>
      <c r="N124" s="52">
        <f t="shared" si="25"/>
        <v>0</v>
      </c>
      <c r="O124" s="52">
        <f t="shared" si="25"/>
        <v>0</v>
      </c>
      <c r="P124" s="52">
        <f t="shared" si="25"/>
        <v>0</v>
      </c>
      <c r="Q124" s="52">
        <f t="shared" si="25"/>
        <v>0</v>
      </c>
      <c r="R124" s="52">
        <f t="shared" si="25"/>
        <v>1</v>
      </c>
      <c r="S124" s="52">
        <f t="shared" si="25"/>
        <v>0</v>
      </c>
      <c r="T124" s="52">
        <f t="shared" si="25"/>
        <v>0</v>
      </c>
      <c r="U124" s="52">
        <f t="shared" si="25"/>
        <v>0</v>
      </c>
      <c r="V124" s="52">
        <f t="shared" si="25"/>
        <v>0</v>
      </c>
      <c r="W124" s="52">
        <f t="shared" si="26"/>
        <v>1</v>
      </c>
      <c r="X124" s="52">
        <f t="shared" si="26"/>
        <v>0</v>
      </c>
      <c r="Y124" s="52">
        <f t="shared" si="26"/>
        <v>0</v>
      </c>
      <c r="Z124" s="52">
        <f t="shared" si="26"/>
        <v>1</v>
      </c>
      <c r="AA124" s="52">
        <f t="shared" si="26"/>
        <v>0</v>
      </c>
      <c r="AB124" s="52">
        <f t="shared" si="26"/>
        <v>1</v>
      </c>
      <c r="AC124" s="52">
        <f t="shared" si="26"/>
        <v>0</v>
      </c>
      <c r="AD124" s="52">
        <f t="shared" si="26"/>
        <v>0</v>
      </c>
      <c r="AE124" s="52">
        <f t="shared" si="26"/>
        <v>0</v>
      </c>
      <c r="AF124" s="52">
        <f t="shared" si="26"/>
        <v>0</v>
      </c>
      <c r="AG124" s="52">
        <f t="shared" si="27"/>
        <v>1</v>
      </c>
      <c r="AH124" s="52">
        <f t="shared" si="27"/>
        <v>0</v>
      </c>
      <c r="AI124" s="52">
        <f t="shared" si="27"/>
        <v>0</v>
      </c>
      <c r="AJ124" s="52">
        <f t="shared" si="27"/>
        <v>0</v>
      </c>
      <c r="AK124" s="52">
        <f t="shared" si="27"/>
        <v>1</v>
      </c>
      <c r="AL124" s="52">
        <f t="shared" si="27"/>
        <v>0</v>
      </c>
      <c r="AM124" s="52">
        <f t="shared" si="27"/>
        <v>1</v>
      </c>
      <c r="AN124" s="52">
        <f t="shared" si="27"/>
        <v>0</v>
      </c>
      <c r="AO124" s="52">
        <f t="shared" si="27"/>
        <v>0</v>
      </c>
      <c r="AP124" s="52">
        <f t="shared" si="27"/>
        <v>0</v>
      </c>
      <c r="AQ124" s="52">
        <f t="shared" si="28"/>
        <v>0</v>
      </c>
      <c r="AR124" s="52">
        <f t="shared" si="28"/>
        <v>0</v>
      </c>
      <c r="AS124" s="52">
        <f t="shared" si="28"/>
        <v>0</v>
      </c>
      <c r="AT124" s="52">
        <f t="shared" si="28"/>
        <v>0</v>
      </c>
      <c r="AU124" s="52">
        <f t="shared" si="28"/>
        <v>0</v>
      </c>
      <c r="AV124" s="52">
        <f t="shared" si="28"/>
        <v>0</v>
      </c>
      <c r="AW124" s="52">
        <f t="shared" si="28"/>
        <v>1</v>
      </c>
      <c r="AX124" s="52">
        <f t="shared" si="28"/>
        <v>1</v>
      </c>
    </row>
    <row r="125" spans="2:50" x14ac:dyDescent="0.2">
      <c r="B125" s="47">
        <v>36</v>
      </c>
      <c r="C125" s="52">
        <f t="shared" si="24"/>
        <v>0</v>
      </c>
      <c r="D125" s="52">
        <f t="shared" si="24"/>
        <v>0</v>
      </c>
      <c r="E125" s="52">
        <f t="shared" si="24"/>
        <v>0</v>
      </c>
      <c r="F125" s="52">
        <f t="shared" si="24"/>
        <v>0</v>
      </c>
      <c r="G125" s="52">
        <f t="shared" si="24"/>
        <v>0</v>
      </c>
      <c r="H125" s="52">
        <f t="shared" si="24"/>
        <v>1</v>
      </c>
      <c r="I125" s="52">
        <f t="shared" si="24"/>
        <v>0</v>
      </c>
      <c r="J125" s="52">
        <f t="shared" si="24"/>
        <v>0</v>
      </c>
      <c r="K125" s="52">
        <f t="shared" si="24"/>
        <v>0</v>
      </c>
      <c r="L125" s="52">
        <f t="shared" si="24"/>
        <v>1</v>
      </c>
      <c r="M125" s="52">
        <f t="shared" si="25"/>
        <v>0</v>
      </c>
      <c r="N125" s="52">
        <f t="shared" si="25"/>
        <v>0</v>
      </c>
      <c r="O125" s="52">
        <f t="shared" si="25"/>
        <v>0</v>
      </c>
      <c r="P125" s="52">
        <f t="shared" si="25"/>
        <v>0</v>
      </c>
      <c r="Q125" s="52">
        <f t="shared" si="25"/>
        <v>0</v>
      </c>
      <c r="R125" s="52">
        <f t="shared" si="25"/>
        <v>1</v>
      </c>
      <c r="S125" s="52">
        <f t="shared" si="25"/>
        <v>1</v>
      </c>
      <c r="T125" s="52">
        <f t="shared" si="25"/>
        <v>1</v>
      </c>
      <c r="U125" s="52">
        <f t="shared" si="25"/>
        <v>0</v>
      </c>
      <c r="V125" s="52">
        <f t="shared" si="25"/>
        <v>0</v>
      </c>
      <c r="W125" s="52">
        <f t="shared" si="26"/>
        <v>0</v>
      </c>
      <c r="X125" s="52">
        <f t="shared" si="26"/>
        <v>1</v>
      </c>
      <c r="Y125" s="52">
        <f t="shared" si="26"/>
        <v>0</v>
      </c>
      <c r="Z125" s="52">
        <f t="shared" si="26"/>
        <v>0</v>
      </c>
      <c r="AA125" s="52">
        <f t="shared" si="26"/>
        <v>1</v>
      </c>
      <c r="AB125" s="52">
        <f t="shared" si="26"/>
        <v>1</v>
      </c>
      <c r="AC125" s="52">
        <f t="shared" si="26"/>
        <v>0</v>
      </c>
      <c r="AD125" s="52">
        <f t="shared" si="26"/>
        <v>0</v>
      </c>
      <c r="AE125" s="52">
        <f t="shared" si="26"/>
        <v>1</v>
      </c>
      <c r="AF125" s="52">
        <f t="shared" si="26"/>
        <v>1</v>
      </c>
      <c r="AG125" s="52">
        <f t="shared" si="27"/>
        <v>1</v>
      </c>
      <c r="AH125" s="52">
        <f t="shared" si="27"/>
        <v>0</v>
      </c>
      <c r="AI125" s="52">
        <f t="shared" si="27"/>
        <v>0</v>
      </c>
      <c r="AJ125" s="52">
        <f t="shared" si="27"/>
        <v>0</v>
      </c>
      <c r="AK125" s="52">
        <f t="shared" si="27"/>
        <v>0</v>
      </c>
      <c r="AL125" s="52">
        <f t="shared" si="27"/>
        <v>1</v>
      </c>
      <c r="AM125" s="52">
        <f t="shared" si="27"/>
        <v>0</v>
      </c>
      <c r="AN125" s="52">
        <f t="shared" si="27"/>
        <v>0</v>
      </c>
      <c r="AO125" s="52">
        <f t="shared" si="27"/>
        <v>0</v>
      </c>
      <c r="AP125" s="52">
        <f t="shared" si="27"/>
        <v>1</v>
      </c>
      <c r="AQ125" s="52">
        <f t="shared" si="28"/>
        <v>0</v>
      </c>
      <c r="AR125" s="52">
        <f t="shared" si="28"/>
        <v>0</v>
      </c>
      <c r="AS125" s="52">
        <f t="shared" si="28"/>
        <v>0</v>
      </c>
      <c r="AT125" s="52">
        <f t="shared" si="28"/>
        <v>0</v>
      </c>
      <c r="AU125" s="52">
        <f t="shared" si="28"/>
        <v>1</v>
      </c>
      <c r="AV125" s="52">
        <f t="shared" si="28"/>
        <v>0</v>
      </c>
      <c r="AW125" s="52">
        <f t="shared" si="28"/>
        <v>0</v>
      </c>
      <c r="AX125" s="52">
        <f t="shared" si="28"/>
        <v>0</v>
      </c>
    </row>
    <row r="126" spans="2:50" x14ac:dyDescent="0.2">
      <c r="B126" s="47">
        <v>37</v>
      </c>
      <c r="C126" s="52">
        <f t="shared" si="24"/>
        <v>1</v>
      </c>
      <c r="D126" s="52">
        <f t="shared" si="24"/>
        <v>0</v>
      </c>
      <c r="E126" s="52">
        <f t="shared" si="24"/>
        <v>0</v>
      </c>
      <c r="F126" s="52">
        <f t="shared" si="24"/>
        <v>0</v>
      </c>
      <c r="G126" s="52">
        <f t="shared" si="24"/>
        <v>0</v>
      </c>
      <c r="H126" s="52">
        <f t="shared" si="24"/>
        <v>0</v>
      </c>
      <c r="I126" s="52">
        <f t="shared" si="24"/>
        <v>0</v>
      </c>
      <c r="J126" s="52">
        <f t="shared" si="24"/>
        <v>1</v>
      </c>
      <c r="K126" s="52">
        <f t="shared" si="24"/>
        <v>1</v>
      </c>
      <c r="L126" s="52">
        <f t="shared" si="24"/>
        <v>0</v>
      </c>
      <c r="M126" s="52">
        <f t="shared" si="25"/>
        <v>0</v>
      </c>
      <c r="N126" s="52">
        <f t="shared" si="25"/>
        <v>1</v>
      </c>
      <c r="O126" s="52">
        <f t="shared" si="25"/>
        <v>0</v>
      </c>
      <c r="P126" s="52">
        <f t="shared" si="25"/>
        <v>0</v>
      </c>
      <c r="Q126" s="52">
        <f t="shared" si="25"/>
        <v>0</v>
      </c>
      <c r="R126" s="52">
        <f t="shared" si="25"/>
        <v>0</v>
      </c>
      <c r="S126" s="52">
        <f t="shared" si="25"/>
        <v>1</v>
      </c>
      <c r="T126" s="52">
        <f t="shared" si="25"/>
        <v>1</v>
      </c>
      <c r="U126" s="52">
        <f t="shared" si="25"/>
        <v>0</v>
      </c>
      <c r="V126" s="52">
        <f t="shared" si="25"/>
        <v>1</v>
      </c>
      <c r="W126" s="52">
        <f t="shared" si="26"/>
        <v>1</v>
      </c>
      <c r="X126" s="52">
        <f t="shared" si="26"/>
        <v>1</v>
      </c>
      <c r="Y126" s="52">
        <f t="shared" si="26"/>
        <v>0</v>
      </c>
      <c r="Z126" s="52">
        <f t="shared" si="26"/>
        <v>0</v>
      </c>
      <c r="AA126" s="52">
        <f t="shared" si="26"/>
        <v>1</v>
      </c>
      <c r="AB126" s="52">
        <f t="shared" si="26"/>
        <v>1</v>
      </c>
      <c r="AC126" s="52">
        <f t="shared" si="26"/>
        <v>0</v>
      </c>
      <c r="AD126" s="52">
        <f t="shared" si="26"/>
        <v>0</v>
      </c>
      <c r="AE126" s="52">
        <f t="shared" si="26"/>
        <v>0</v>
      </c>
      <c r="AF126" s="52">
        <f t="shared" si="26"/>
        <v>0</v>
      </c>
      <c r="AG126" s="52">
        <f t="shared" si="27"/>
        <v>0</v>
      </c>
      <c r="AH126" s="52">
        <f t="shared" si="27"/>
        <v>0</v>
      </c>
      <c r="AI126" s="52">
        <f t="shared" si="27"/>
        <v>0</v>
      </c>
      <c r="AJ126" s="52">
        <f t="shared" si="27"/>
        <v>1</v>
      </c>
      <c r="AK126" s="52">
        <f t="shared" si="27"/>
        <v>1</v>
      </c>
      <c r="AL126" s="52">
        <f t="shared" si="27"/>
        <v>0</v>
      </c>
      <c r="AM126" s="52">
        <f t="shared" si="27"/>
        <v>1</v>
      </c>
      <c r="AN126" s="52">
        <f t="shared" si="27"/>
        <v>0</v>
      </c>
      <c r="AO126" s="52">
        <f t="shared" si="27"/>
        <v>1</v>
      </c>
      <c r="AP126" s="52">
        <f t="shared" si="27"/>
        <v>0</v>
      </c>
      <c r="AQ126" s="52">
        <f t="shared" si="28"/>
        <v>1</v>
      </c>
      <c r="AR126" s="52">
        <f t="shared" si="28"/>
        <v>0</v>
      </c>
      <c r="AS126" s="52">
        <f t="shared" si="28"/>
        <v>0</v>
      </c>
      <c r="AT126" s="52">
        <f t="shared" si="28"/>
        <v>1</v>
      </c>
      <c r="AU126" s="52">
        <f t="shared" si="28"/>
        <v>0</v>
      </c>
      <c r="AV126" s="52">
        <f t="shared" si="28"/>
        <v>0</v>
      </c>
      <c r="AW126" s="52">
        <f t="shared" si="28"/>
        <v>0</v>
      </c>
      <c r="AX126" s="52">
        <f t="shared" si="28"/>
        <v>0</v>
      </c>
    </row>
    <row r="127" spans="2:50" x14ac:dyDescent="0.2">
      <c r="B127" s="47">
        <v>38</v>
      </c>
      <c r="C127" s="52">
        <f t="shared" si="24"/>
        <v>1</v>
      </c>
      <c r="D127" s="52">
        <f t="shared" si="24"/>
        <v>0</v>
      </c>
      <c r="E127" s="52">
        <f t="shared" si="24"/>
        <v>0</v>
      </c>
      <c r="F127" s="52">
        <f t="shared" si="24"/>
        <v>0</v>
      </c>
      <c r="G127" s="52">
        <f t="shared" si="24"/>
        <v>0</v>
      </c>
      <c r="H127" s="52">
        <f t="shared" si="24"/>
        <v>0</v>
      </c>
      <c r="I127" s="52">
        <f t="shared" si="24"/>
        <v>0</v>
      </c>
      <c r="J127" s="52">
        <f t="shared" si="24"/>
        <v>0</v>
      </c>
      <c r="K127" s="52">
        <f t="shared" si="24"/>
        <v>1</v>
      </c>
      <c r="L127" s="52">
        <f t="shared" si="24"/>
        <v>0</v>
      </c>
      <c r="M127" s="52">
        <f t="shared" si="25"/>
        <v>0</v>
      </c>
      <c r="N127" s="52">
        <f t="shared" si="25"/>
        <v>0</v>
      </c>
      <c r="O127" s="52">
        <f t="shared" si="25"/>
        <v>0</v>
      </c>
      <c r="P127" s="52">
        <f t="shared" si="25"/>
        <v>1</v>
      </c>
      <c r="Q127" s="52">
        <f t="shared" si="25"/>
        <v>1</v>
      </c>
      <c r="R127" s="52">
        <f t="shared" si="25"/>
        <v>0</v>
      </c>
      <c r="S127" s="52">
        <f t="shared" si="25"/>
        <v>0</v>
      </c>
      <c r="T127" s="52">
        <f t="shared" si="25"/>
        <v>0</v>
      </c>
      <c r="U127" s="52">
        <f t="shared" si="25"/>
        <v>0</v>
      </c>
      <c r="V127" s="52">
        <f t="shared" si="25"/>
        <v>0</v>
      </c>
      <c r="W127" s="52">
        <f t="shared" si="26"/>
        <v>0</v>
      </c>
      <c r="X127" s="52">
        <f t="shared" si="26"/>
        <v>1</v>
      </c>
      <c r="Y127" s="52">
        <f t="shared" si="26"/>
        <v>0</v>
      </c>
      <c r="Z127" s="52">
        <f t="shared" si="26"/>
        <v>0</v>
      </c>
      <c r="AA127" s="52">
        <f t="shared" si="26"/>
        <v>0</v>
      </c>
      <c r="AB127" s="52">
        <f t="shared" si="26"/>
        <v>0</v>
      </c>
      <c r="AC127" s="52">
        <f t="shared" si="26"/>
        <v>1</v>
      </c>
      <c r="AD127" s="52">
        <f t="shared" si="26"/>
        <v>1</v>
      </c>
      <c r="AE127" s="52">
        <f t="shared" si="26"/>
        <v>0</v>
      </c>
      <c r="AF127" s="52">
        <f t="shared" si="26"/>
        <v>1</v>
      </c>
      <c r="AG127" s="52">
        <f t="shared" si="27"/>
        <v>0</v>
      </c>
      <c r="AH127" s="52">
        <f t="shared" si="27"/>
        <v>1</v>
      </c>
      <c r="AI127" s="52">
        <f t="shared" si="27"/>
        <v>0</v>
      </c>
      <c r="AJ127" s="52">
        <f t="shared" si="27"/>
        <v>0</v>
      </c>
      <c r="AK127" s="52">
        <f t="shared" si="27"/>
        <v>0</v>
      </c>
      <c r="AL127" s="52">
        <f t="shared" si="27"/>
        <v>0</v>
      </c>
      <c r="AM127" s="52">
        <f t="shared" si="27"/>
        <v>0</v>
      </c>
      <c r="AN127" s="52">
        <f t="shared" si="27"/>
        <v>1</v>
      </c>
      <c r="AO127" s="52">
        <f t="shared" si="27"/>
        <v>1</v>
      </c>
      <c r="AP127" s="52">
        <f t="shared" si="27"/>
        <v>0</v>
      </c>
      <c r="AQ127" s="52">
        <f t="shared" si="28"/>
        <v>1</v>
      </c>
      <c r="AR127" s="52">
        <f t="shared" si="28"/>
        <v>0</v>
      </c>
      <c r="AS127" s="52">
        <f t="shared" si="28"/>
        <v>0</v>
      </c>
      <c r="AT127" s="52">
        <f t="shared" si="28"/>
        <v>0</v>
      </c>
      <c r="AU127" s="52">
        <f t="shared" si="28"/>
        <v>0</v>
      </c>
      <c r="AV127" s="52">
        <f t="shared" si="28"/>
        <v>0</v>
      </c>
      <c r="AW127" s="52">
        <f t="shared" si="28"/>
        <v>0</v>
      </c>
      <c r="AX127" s="52">
        <f t="shared" si="28"/>
        <v>0</v>
      </c>
    </row>
    <row r="128" spans="2:50" x14ac:dyDescent="0.2">
      <c r="B128" s="47">
        <v>39</v>
      </c>
      <c r="C128" s="52">
        <f t="shared" si="24"/>
        <v>0</v>
      </c>
      <c r="D128" s="52">
        <f t="shared" si="24"/>
        <v>0</v>
      </c>
      <c r="E128" s="52">
        <f t="shared" si="24"/>
        <v>0</v>
      </c>
      <c r="F128" s="52">
        <f t="shared" si="24"/>
        <v>0</v>
      </c>
      <c r="G128" s="52">
        <f t="shared" si="24"/>
        <v>0</v>
      </c>
      <c r="H128" s="52">
        <f t="shared" si="24"/>
        <v>0</v>
      </c>
      <c r="I128" s="52">
        <f t="shared" si="24"/>
        <v>0</v>
      </c>
      <c r="J128" s="52">
        <f t="shared" si="24"/>
        <v>0</v>
      </c>
      <c r="K128" s="52">
        <f t="shared" si="24"/>
        <v>0</v>
      </c>
      <c r="L128" s="52">
        <f t="shared" si="24"/>
        <v>0</v>
      </c>
      <c r="M128" s="52">
        <f t="shared" si="25"/>
        <v>0</v>
      </c>
      <c r="N128" s="52">
        <f t="shared" si="25"/>
        <v>1</v>
      </c>
      <c r="O128" s="52">
        <f t="shared" si="25"/>
        <v>0</v>
      </c>
      <c r="P128" s="52">
        <f t="shared" si="25"/>
        <v>0</v>
      </c>
      <c r="Q128" s="52">
        <f t="shared" si="25"/>
        <v>1</v>
      </c>
      <c r="R128" s="52">
        <f t="shared" si="25"/>
        <v>0</v>
      </c>
      <c r="S128" s="52">
        <f t="shared" si="25"/>
        <v>0</v>
      </c>
      <c r="T128" s="52">
        <f t="shared" si="25"/>
        <v>0</v>
      </c>
      <c r="U128" s="52">
        <f t="shared" si="25"/>
        <v>0</v>
      </c>
      <c r="V128" s="52">
        <f t="shared" si="25"/>
        <v>0</v>
      </c>
      <c r="W128" s="52">
        <f t="shared" si="26"/>
        <v>0</v>
      </c>
      <c r="X128" s="52">
        <f t="shared" si="26"/>
        <v>0</v>
      </c>
      <c r="Y128" s="52">
        <f t="shared" si="26"/>
        <v>0</v>
      </c>
      <c r="Z128" s="52">
        <f t="shared" si="26"/>
        <v>0</v>
      </c>
      <c r="AA128" s="52">
        <f t="shared" si="26"/>
        <v>0</v>
      </c>
      <c r="AB128" s="52">
        <f t="shared" si="26"/>
        <v>1</v>
      </c>
      <c r="AC128" s="52">
        <f t="shared" si="26"/>
        <v>1</v>
      </c>
      <c r="AD128" s="52">
        <f t="shared" si="26"/>
        <v>1</v>
      </c>
      <c r="AE128" s="52">
        <f t="shared" si="26"/>
        <v>0</v>
      </c>
      <c r="AF128" s="52">
        <f t="shared" si="26"/>
        <v>1</v>
      </c>
      <c r="AG128" s="52">
        <f t="shared" si="27"/>
        <v>0</v>
      </c>
      <c r="AH128" s="52">
        <f t="shared" si="27"/>
        <v>0</v>
      </c>
      <c r="AI128" s="52">
        <f t="shared" si="27"/>
        <v>0</v>
      </c>
      <c r="AJ128" s="52">
        <f t="shared" si="27"/>
        <v>0</v>
      </c>
      <c r="AK128" s="52">
        <f t="shared" si="27"/>
        <v>0</v>
      </c>
      <c r="AL128" s="52">
        <f t="shared" si="27"/>
        <v>0</v>
      </c>
      <c r="AM128" s="52">
        <f t="shared" si="27"/>
        <v>1</v>
      </c>
      <c r="AN128" s="52">
        <f t="shared" si="27"/>
        <v>1</v>
      </c>
      <c r="AO128" s="52">
        <f t="shared" si="27"/>
        <v>1</v>
      </c>
      <c r="AP128" s="52">
        <f t="shared" si="27"/>
        <v>0</v>
      </c>
      <c r="AQ128" s="52">
        <f t="shared" si="28"/>
        <v>1</v>
      </c>
      <c r="AR128" s="52">
        <f t="shared" si="28"/>
        <v>0</v>
      </c>
      <c r="AS128" s="52">
        <f t="shared" si="28"/>
        <v>0</v>
      </c>
      <c r="AT128" s="52">
        <f t="shared" si="28"/>
        <v>1</v>
      </c>
      <c r="AU128" s="52">
        <f t="shared" si="28"/>
        <v>1</v>
      </c>
      <c r="AV128" s="52">
        <f t="shared" si="28"/>
        <v>0</v>
      </c>
      <c r="AW128" s="52">
        <f t="shared" si="28"/>
        <v>0</v>
      </c>
      <c r="AX128" s="52">
        <f t="shared" si="28"/>
        <v>1</v>
      </c>
    </row>
    <row r="129" spans="2:50" x14ac:dyDescent="0.2">
      <c r="B129" s="47">
        <v>40</v>
      </c>
      <c r="C129" s="52">
        <f t="shared" si="24"/>
        <v>0</v>
      </c>
      <c r="D129" s="52">
        <f t="shared" si="24"/>
        <v>1</v>
      </c>
      <c r="E129" s="52">
        <f t="shared" si="24"/>
        <v>1</v>
      </c>
      <c r="F129" s="52">
        <f t="shared" si="24"/>
        <v>1</v>
      </c>
      <c r="G129" s="52">
        <f t="shared" si="24"/>
        <v>1</v>
      </c>
      <c r="H129" s="52">
        <f t="shared" si="24"/>
        <v>1</v>
      </c>
      <c r="I129" s="52">
        <f t="shared" si="24"/>
        <v>0</v>
      </c>
      <c r="J129" s="52">
        <f t="shared" si="24"/>
        <v>0</v>
      </c>
      <c r="K129" s="52">
        <f t="shared" si="24"/>
        <v>0</v>
      </c>
      <c r="L129" s="52">
        <f t="shared" si="24"/>
        <v>0</v>
      </c>
      <c r="M129" s="52">
        <f t="shared" si="25"/>
        <v>1</v>
      </c>
      <c r="N129" s="52">
        <f t="shared" si="25"/>
        <v>0</v>
      </c>
      <c r="O129" s="52">
        <f t="shared" si="25"/>
        <v>0</v>
      </c>
      <c r="P129" s="52">
        <f t="shared" si="25"/>
        <v>1</v>
      </c>
      <c r="Q129" s="52">
        <f t="shared" si="25"/>
        <v>0</v>
      </c>
      <c r="R129" s="52">
        <f t="shared" si="25"/>
        <v>0</v>
      </c>
      <c r="S129" s="52">
        <f t="shared" si="25"/>
        <v>1</v>
      </c>
      <c r="T129" s="52">
        <f t="shared" si="25"/>
        <v>1</v>
      </c>
      <c r="U129" s="52">
        <f t="shared" si="25"/>
        <v>0</v>
      </c>
      <c r="V129" s="52">
        <f t="shared" si="25"/>
        <v>0</v>
      </c>
      <c r="W129" s="52">
        <f t="shared" si="26"/>
        <v>0</v>
      </c>
      <c r="X129" s="52">
        <f t="shared" si="26"/>
        <v>1</v>
      </c>
      <c r="Y129" s="52">
        <f t="shared" si="26"/>
        <v>0</v>
      </c>
      <c r="Z129" s="52">
        <f t="shared" si="26"/>
        <v>0</v>
      </c>
      <c r="AA129" s="52">
        <f t="shared" si="26"/>
        <v>0</v>
      </c>
      <c r="AB129" s="52">
        <f t="shared" si="26"/>
        <v>0</v>
      </c>
      <c r="AC129" s="52">
        <f t="shared" si="26"/>
        <v>0</v>
      </c>
      <c r="AD129" s="52">
        <f t="shared" si="26"/>
        <v>0</v>
      </c>
      <c r="AE129" s="52">
        <f t="shared" si="26"/>
        <v>1</v>
      </c>
      <c r="AF129" s="52">
        <f t="shared" si="26"/>
        <v>1</v>
      </c>
      <c r="AG129" s="52">
        <f t="shared" si="27"/>
        <v>0</v>
      </c>
      <c r="AH129" s="52">
        <f t="shared" si="27"/>
        <v>0</v>
      </c>
      <c r="AI129" s="52">
        <f t="shared" si="27"/>
        <v>0</v>
      </c>
      <c r="AJ129" s="52">
        <f t="shared" si="27"/>
        <v>1</v>
      </c>
      <c r="AK129" s="52">
        <f t="shared" si="27"/>
        <v>0</v>
      </c>
      <c r="AL129" s="52">
        <f t="shared" si="27"/>
        <v>1</v>
      </c>
      <c r="AM129" s="52">
        <f t="shared" si="27"/>
        <v>0</v>
      </c>
      <c r="AN129" s="52">
        <f t="shared" si="27"/>
        <v>0</v>
      </c>
      <c r="AO129" s="52">
        <f t="shared" si="27"/>
        <v>0</v>
      </c>
      <c r="AP129" s="52">
        <f t="shared" si="27"/>
        <v>1</v>
      </c>
      <c r="AQ129" s="52">
        <f t="shared" si="28"/>
        <v>0</v>
      </c>
      <c r="AR129" s="52">
        <f t="shared" si="28"/>
        <v>0</v>
      </c>
      <c r="AS129" s="52">
        <f t="shared" si="28"/>
        <v>0</v>
      </c>
      <c r="AT129" s="52">
        <f t="shared" si="28"/>
        <v>0</v>
      </c>
      <c r="AU129" s="52">
        <f t="shared" si="28"/>
        <v>1</v>
      </c>
      <c r="AV129" s="52">
        <f t="shared" si="28"/>
        <v>1</v>
      </c>
      <c r="AW129" s="52">
        <f t="shared" si="28"/>
        <v>0</v>
      </c>
      <c r="AX129" s="52">
        <f t="shared" si="28"/>
        <v>1</v>
      </c>
    </row>
    <row r="130" spans="2:50" x14ac:dyDescent="0.2">
      <c r="B130" s="47">
        <v>41</v>
      </c>
      <c r="C130" s="52">
        <f t="shared" ref="C130:L137" si="29">eventClash(C$89,$B130, eventStudent)</f>
        <v>1</v>
      </c>
      <c r="D130" s="52">
        <f t="shared" si="29"/>
        <v>1</v>
      </c>
      <c r="E130" s="52">
        <f t="shared" si="29"/>
        <v>0</v>
      </c>
      <c r="F130" s="52">
        <f t="shared" si="29"/>
        <v>0</v>
      </c>
      <c r="G130" s="52">
        <f t="shared" si="29"/>
        <v>1</v>
      </c>
      <c r="H130" s="52">
        <f t="shared" si="29"/>
        <v>0</v>
      </c>
      <c r="I130" s="52">
        <f t="shared" si="29"/>
        <v>0</v>
      </c>
      <c r="J130" s="52">
        <f t="shared" si="29"/>
        <v>1</v>
      </c>
      <c r="K130" s="52">
        <f t="shared" si="29"/>
        <v>0</v>
      </c>
      <c r="L130" s="52">
        <f t="shared" si="29"/>
        <v>1</v>
      </c>
      <c r="M130" s="52">
        <f t="shared" ref="M130:V137" si="30">eventClash(M$89,$B130, eventStudent)</f>
        <v>0</v>
      </c>
      <c r="N130" s="52">
        <f t="shared" si="30"/>
        <v>1</v>
      </c>
      <c r="O130" s="52">
        <f t="shared" si="30"/>
        <v>0</v>
      </c>
      <c r="P130" s="52">
        <f t="shared" si="30"/>
        <v>0</v>
      </c>
      <c r="Q130" s="52">
        <f t="shared" si="30"/>
        <v>0</v>
      </c>
      <c r="R130" s="52">
        <f t="shared" si="30"/>
        <v>1</v>
      </c>
      <c r="S130" s="52">
        <f t="shared" si="30"/>
        <v>0</v>
      </c>
      <c r="T130" s="52">
        <f t="shared" si="30"/>
        <v>0</v>
      </c>
      <c r="U130" s="52">
        <f t="shared" si="30"/>
        <v>0</v>
      </c>
      <c r="V130" s="52">
        <f t="shared" si="30"/>
        <v>0</v>
      </c>
      <c r="W130" s="52">
        <f t="shared" ref="W130:AF137" si="31">eventClash(W$89,$B130, eventStudent)</f>
        <v>1</v>
      </c>
      <c r="X130" s="52">
        <f t="shared" si="31"/>
        <v>1</v>
      </c>
      <c r="Y130" s="52">
        <f t="shared" si="31"/>
        <v>0</v>
      </c>
      <c r="Z130" s="52">
        <f t="shared" si="31"/>
        <v>0</v>
      </c>
      <c r="AA130" s="52">
        <f t="shared" si="31"/>
        <v>0</v>
      </c>
      <c r="AB130" s="52">
        <f t="shared" si="31"/>
        <v>1</v>
      </c>
      <c r="AC130" s="52">
        <f t="shared" si="31"/>
        <v>0</v>
      </c>
      <c r="AD130" s="52">
        <f t="shared" si="31"/>
        <v>0</v>
      </c>
      <c r="AE130" s="52">
        <f t="shared" si="31"/>
        <v>0</v>
      </c>
      <c r="AF130" s="52">
        <f t="shared" si="31"/>
        <v>0</v>
      </c>
      <c r="AG130" s="52">
        <f t="shared" ref="AG130:AP137" si="32">eventClash(AG$89,$B130, eventStudent)</f>
        <v>0</v>
      </c>
      <c r="AH130" s="52">
        <f t="shared" si="32"/>
        <v>1</v>
      </c>
      <c r="AI130" s="52">
        <f t="shared" si="32"/>
        <v>0</v>
      </c>
      <c r="AJ130" s="52">
        <f t="shared" si="32"/>
        <v>0</v>
      </c>
      <c r="AK130" s="52">
        <f t="shared" si="32"/>
        <v>0</v>
      </c>
      <c r="AL130" s="52">
        <f t="shared" si="32"/>
        <v>0</v>
      </c>
      <c r="AM130" s="52">
        <f t="shared" si="32"/>
        <v>1</v>
      </c>
      <c r="AN130" s="52">
        <f t="shared" si="32"/>
        <v>1</v>
      </c>
      <c r="AO130" s="52">
        <f t="shared" si="32"/>
        <v>1</v>
      </c>
      <c r="AP130" s="52">
        <f t="shared" si="32"/>
        <v>0</v>
      </c>
      <c r="AQ130" s="52">
        <f t="shared" ref="AQ130:AX137" si="33">eventClash(AQ$89,$B130, eventStudent)</f>
        <v>1</v>
      </c>
      <c r="AR130" s="52">
        <f t="shared" si="33"/>
        <v>0</v>
      </c>
      <c r="AS130" s="52">
        <f t="shared" si="33"/>
        <v>0</v>
      </c>
      <c r="AT130" s="52">
        <f t="shared" si="33"/>
        <v>1</v>
      </c>
      <c r="AU130" s="52">
        <f t="shared" si="33"/>
        <v>0</v>
      </c>
      <c r="AV130" s="52">
        <f t="shared" si="33"/>
        <v>0</v>
      </c>
      <c r="AW130" s="52">
        <f t="shared" si="33"/>
        <v>0</v>
      </c>
      <c r="AX130" s="52">
        <f t="shared" si="33"/>
        <v>0</v>
      </c>
    </row>
    <row r="131" spans="2:50" x14ac:dyDescent="0.2">
      <c r="B131" s="47">
        <v>42</v>
      </c>
      <c r="C131" s="52">
        <f t="shared" si="29"/>
        <v>0</v>
      </c>
      <c r="D131" s="52">
        <f t="shared" si="29"/>
        <v>0</v>
      </c>
      <c r="E131" s="52">
        <f t="shared" si="29"/>
        <v>1</v>
      </c>
      <c r="F131" s="52">
        <f t="shared" si="29"/>
        <v>0</v>
      </c>
      <c r="G131" s="52">
        <f t="shared" si="29"/>
        <v>0</v>
      </c>
      <c r="H131" s="52">
        <f t="shared" si="29"/>
        <v>0</v>
      </c>
      <c r="I131" s="52">
        <f t="shared" si="29"/>
        <v>0</v>
      </c>
      <c r="J131" s="52">
        <f t="shared" si="29"/>
        <v>0</v>
      </c>
      <c r="K131" s="52">
        <f t="shared" si="29"/>
        <v>1</v>
      </c>
      <c r="L131" s="52">
        <f t="shared" si="29"/>
        <v>1</v>
      </c>
      <c r="M131" s="52">
        <f t="shared" si="30"/>
        <v>0</v>
      </c>
      <c r="N131" s="52">
        <f t="shared" si="30"/>
        <v>0</v>
      </c>
      <c r="O131" s="52">
        <f t="shared" si="30"/>
        <v>1</v>
      </c>
      <c r="P131" s="52">
        <f t="shared" si="30"/>
        <v>0</v>
      </c>
      <c r="Q131" s="52">
        <f t="shared" si="30"/>
        <v>0</v>
      </c>
      <c r="R131" s="52">
        <f t="shared" si="30"/>
        <v>0</v>
      </c>
      <c r="S131" s="52">
        <f t="shared" si="30"/>
        <v>0</v>
      </c>
      <c r="T131" s="52">
        <f t="shared" si="30"/>
        <v>0</v>
      </c>
      <c r="U131" s="52">
        <f t="shared" si="30"/>
        <v>0</v>
      </c>
      <c r="V131" s="52">
        <f t="shared" si="30"/>
        <v>0</v>
      </c>
      <c r="W131" s="52">
        <f t="shared" si="31"/>
        <v>1</v>
      </c>
      <c r="X131" s="52">
        <f t="shared" si="31"/>
        <v>0</v>
      </c>
      <c r="Y131" s="52">
        <f t="shared" si="31"/>
        <v>1</v>
      </c>
      <c r="Z131" s="52">
        <f t="shared" si="31"/>
        <v>0</v>
      </c>
      <c r="AA131" s="52">
        <f t="shared" si="31"/>
        <v>0</v>
      </c>
      <c r="AB131" s="52">
        <f t="shared" si="31"/>
        <v>0</v>
      </c>
      <c r="AC131" s="52">
        <f t="shared" si="31"/>
        <v>0</v>
      </c>
      <c r="AD131" s="52">
        <f t="shared" si="31"/>
        <v>1</v>
      </c>
      <c r="AE131" s="52">
        <f t="shared" si="31"/>
        <v>0</v>
      </c>
      <c r="AF131" s="52">
        <f t="shared" si="31"/>
        <v>0</v>
      </c>
      <c r="AG131" s="52">
        <f t="shared" si="32"/>
        <v>0</v>
      </c>
      <c r="AH131" s="52">
        <f t="shared" si="32"/>
        <v>0</v>
      </c>
      <c r="AI131" s="52">
        <f t="shared" si="32"/>
        <v>1</v>
      </c>
      <c r="AJ131" s="52">
        <f t="shared" si="32"/>
        <v>0</v>
      </c>
      <c r="AK131" s="52">
        <f t="shared" si="32"/>
        <v>0</v>
      </c>
      <c r="AL131" s="52">
        <f t="shared" si="32"/>
        <v>0</v>
      </c>
      <c r="AM131" s="52">
        <f t="shared" si="32"/>
        <v>0</v>
      </c>
      <c r="AN131" s="52">
        <f t="shared" si="32"/>
        <v>0</v>
      </c>
      <c r="AO131" s="52">
        <f t="shared" si="32"/>
        <v>0</v>
      </c>
      <c r="AP131" s="52">
        <f t="shared" si="32"/>
        <v>0</v>
      </c>
      <c r="AQ131" s="52">
        <f t="shared" si="33"/>
        <v>0</v>
      </c>
      <c r="AR131" s="52">
        <f t="shared" si="33"/>
        <v>1</v>
      </c>
      <c r="AS131" s="52">
        <f t="shared" si="33"/>
        <v>0</v>
      </c>
      <c r="AT131" s="52">
        <f t="shared" si="33"/>
        <v>0</v>
      </c>
      <c r="AU131" s="52">
        <f t="shared" si="33"/>
        <v>1</v>
      </c>
      <c r="AV131" s="52">
        <f t="shared" si="33"/>
        <v>0</v>
      </c>
      <c r="AW131" s="52">
        <f t="shared" si="33"/>
        <v>0</v>
      </c>
      <c r="AX131" s="52">
        <f t="shared" si="33"/>
        <v>0</v>
      </c>
    </row>
    <row r="132" spans="2:50" x14ac:dyDescent="0.2">
      <c r="B132" s="47">
        <v>43</v>
      </c>
      <c r="C132" s="52">
        <f t="shared" si="29"/>
        <v>0</v>
      </c>
      <c r="D132" s="52">
        <f t="shared" si="29"/>
        <v>0</v>
      </c>
      <c r="E132" s="52">
        <f t="shared" si="29"/>
        <v>0</v>
      </c>
      <c r="F132" s="52">
        <f t="shared" si="29"/>
        <v>0</v>
      </c>
      <c r="G132" s="52">
        <f t="shared" si="29"/>
        <v>0</v>
      </c>
      <c r="H132" s="52">
        <f t="shared" si="29"/>
        <v>0</v>
      </c>
      <c r="I132" s="52">
        <f t="shared" si="29"/>
        <v>0</v>
      </c>
      <c r="J132" s="52">
        <f t="shared" si="29"/>
        <v>0</v>
      </c>
      <c r="K132" s="52">
        <f t="shared" si="29"/>
        <v>0</v>
      </c>
      <c r="L132" s="52">
        <f t="shared" si="29"/>
        <v>0</v>
      </c>
      <c r="M132" s="52">
        <f t="shared" si="30"/>
        <v>0</v>
      </c>
      <c r="N132" s="52">
        <f t="shared" si="30"/>
        <v>0</v>
      </c>
      <c r="O132" s="52">
        <f t="shared" si="30"/>
        <v>0</v>
      </c>
      <c r="P132" s="52">
        <f t="shared" si="30"/>
        <v>0</v>
      </c>
      <c r="Q132" s="52">
        <f t="shared" si="30"/>
        <v>0</v>
      </c>
      <c r="R132" s="52">
        <f t="shared" si="30"/>
        <v>0</v>
      </c>
      <c r="S132" s="52">
        <f t="shared" si="30"/>
        <v>0</v>
      </c>
      <c r="T132" s="52">
        <f t="shared" si="30"/>
        <v>0</v>
      </c>
      <c r="U132" s="52">
        <f t="shared" si="30"/>
        <v>0</v>
      </c>
      <c r="V132" s="52">
        <f t="shared" si="30"/>
        <v>0</v>
      </c>
      <c r="W132" s="52">
        <f t="shared" si="31"/>
        <v>0</v>
      </c>
      <c r="X132" s="52">
        <f t="shared" si="31"/>
        <v>0</v>
      </c>
      <c r="Y132" s="52">
        <f t="shared" si="31"/>
        <v>0</v>
      </c>
      <c r="Z132" s="52">
        <f t="shared" si="31"/>
        <v>0</v>
      </c>
      <c r="AA132" s="52">
        <f t="shared" si="31"/>
        <v>0</v>
      </c>
      <c r="AB132" s="52">
        <f t="shared" si="31"/>
        <v>0</v>
      </c>
      <c r="AC132" s="52">
        <f t="shared" si="31"/>
        <v>0</v>
      </c>
      <c r="AD132" s="52">
        <f t="shared" si="31"/>
        <v>0</v>
      </c>
      <c r="AE132" s="52">
        <f t="shared" si="31"/>
        <v>0</v>
      </c>
      <c r="AF132" s="52">
        <f t="shared" si="31"/>
        <v>0</v>
      </c>
      <c r="AG132" s="52">
        <f t="shared" si="32"/>
        <v>0</v>
      </c>
      <c r="AH132" s="52">
        <f t="shared" si="32"/>
        <v>0</v>
      </c>
      <c r="AI132" s="52">
        <f t="shared" si="32"/>
        <v>0</v>
      </c>
      <c r="AJ132" s="52">
        <f t="shared" si="32"/>
        <v>0</v>
      </c>
      <c r="AK132" s="52">
        <f t="shared" si="32"/>
        <v>0</v>
      </c>
      <c r="AL132" s="52">
        <f t="shared" si="32"/>
        <v>0</v>
      </c>
      <c r="AM132" s="52">
        <f t="shared" si="32"/>
        <v>0</v>
      </c>
      <c r="AN132" s="52">
        <f t="shared" si="32"/>
        <v>0</v>
      </c>
      <c r="AO132" s="52">
        <f t="shared" si="32"/>
        <v>0</v>
      </c>
      <c r="AP132" s="52">
        <f t="shared" si="32"/>
        <v>0</v>
      </c>
      <c r="AQ132" s="52">
        <f t="shared" si="33"/>
        <v>0</v>
      </c>
      <c r="AR132" s="52">
        <f t="shared" si="33"/>
        <v>0</v>
      </c>
      <c r="AS132" s="52">
        <f t="shared" si="33"/>
        <v>0</v>
      </c>
      <c r="AT132" s="52">
        <f t="shared" si="33"/>
        <v>0</v>
      </c>
      <c r="AU132" s="52">
        <f t="shared" si="33"/>
        <v>0</v>
      </c>
      <c r="AV132" s="52">
        <f t="shared" si="33"/>
        <v>0</v>
      </c>
      <c r="AW132" s="52">
        <f t="shared" si="33"/>
        <v>0</v>
      </c>
      <c r="AX132" s="52">
        <f t="shared" si="33"/>
        <v>0</v>
      </c>
    </row>
    <row r="133" spans="2:50" x14ac:dyDescent="0.2">
      <c r="B133" s="47">
        <v>44</v>
      </c>
      <c r="C133" s="52">
        <f t="shared" si="29"/>
        <v>0</v>
      </c>
      <c r="D133" s="52">
        <f t="shared" si="29"/>
        <v>0</v>
      </c>
      <c r="E133" s="52">
        <f t="shared" si="29"/>
        <v>0</v>
      </c>
      <c r="F133" s="52">
        <f t="shared" si="29"/>
        <v>0</v>
      </c>
      <c r="G133" s="52">
        <f t="shared" si="29"/>
        <v>0</v>
      </c>
      <c r="H133" s="52">
        <f t="shared" si="29"/>
        <v>0</v>
      </c>
      <c r="I133" s="52">
        <f t="shared" si="29"/>
        <v>0</v>
      </c>
      <c r="J133" s="52">
        <f t="shared" si="29"/>
        <v>1</v>
      </c>
      <c r="K133" s="52">
        <f t="shared" si="29"/>
        <v>0</v>
      </c>
      <c r="L133" s="52">
        <f t="shared" si="29"/>
        <v>0</v>
      </c>
      <c r="M133" s="52">
        <f t="shared" si="30"/>
        <v>0</v>
      </c>
      <c r="N133" s="52">
        <f t="shared" si="30"/>
        <v>1</v>
      </c>
      <c r="O133" s="52">
        <f t="shared" si="30"/>
        <v>0</v>
      </c>
      <c r="P133" s="52">
        <f t="shared" si="30"/>
        <v>0</v>
      </c>
      <c r="Q133" s="52">
        <f t="shared" si="30"/>
        <v>1</v>
      </c>
      <c r="R133" s="52">
        <f t="shared" si="30"/>
        <v>1</v>
      </c>
      <c r="S133" s="52">
        <f t="shared" si="30"/>
        <v>1</v>
      </c>
      <c r="T133" s="52">
        <f t="shared" si="30"/>
        <v>0</v>
      </c>
      <c r="U133" s="52">
        <f t="shared" si="30"/>
        <v>0</v>
      </c>
      <c r="V133" s="52">
        <f t="shared" si="30"/>
        <v>0</v>
      </c>
      <c r="W133" s="52">
        <f t="shared" si="31"/>
        <v>0</v>
      </c>
      <c r="X133" s="52">
        <f t="shared" si="31"/>
        <v>0</v>
      </c>
      <c r="Y133" s="52">
        <f t="shared" si="31"/>
        <v>0</v>
      </c>
      <c r="Z133" s="52">
        <f t="shared" si="31"/>
        <v>0</v>
      </c>
      <c r="AA133" s="52">
        <f t="shared" si="31"/>
        <v>0</v>
      </c>
      <c r="AB133" s="52">
        <f t="shared" si="31"/>
        <v>1</v>
      </c>
      <c r="AC133" s="52">
        <f t="shared" si="31"/>
        <v>0</v>
      </c>
      <c r="AD133" s="52">
        <f t="shared" si="31"/>
        <v>0</v>
      </c>
      <c r="AE133" s="52">
        <f t="shared" si="31"/>
        <v>1</v>
      </c>
      <c r="AF133" s="52">
        <f t="shared" si="31"/>
        <v>0</v>
      </c>
      <c r="AG133" s="52">
        <f t="shared" si="32"/>
        <v>0</v>
      </c>
      <c r="AH133" s="52">
        <f t="shared" si="32"/>
        <v>0</v>
      </c>
      <c r="AI133" s="52">
        <f t="shared" si="32"/>
        <v>0</v>
      </c>
      <c r="AJ133" s="52">
        <f t="shared" si="32"/>
        <v>0</v>
      </c>
      <c r="AK133" s="52">
        <f t="shared" si="32"/>
        <v>0</v>
      </c>
      <c r="AL133" s="52">
        <f t="shared" si="32"/>
        <v>0</v>
      </c>
      <c r="AM133" s="52">
        <f t="shared" si="32"/>
        <v>1</v>
      </c>
      <c r="AN133" s="52">
        <f t="shared" si="32"/>
        <v>0</v>
      </c>
      <c r="AO133" s="52">
        <f t="shared" si="32"/>
        <v>1</v>
      </c>
      <c r="AP133" s="52">
        <f t="shared" si="32"/>
        <v>0</v>
      </c>
      <c r="AQ133" s="52">
        <f t="shared" si="33"/>
        <v>1</v>
      </c>
      <c r="AR133" s="52">
        <f t="shared" si="33"/>
        <v>0</v>
      </c>
      <c r="AS133" s="52">
        <f t="shared" si="33"/>
        <v>0</v>
      </c>
      <c r="AT133" s="52">
        <f t="shared" si="33"/>
        <v>1</v>
      </c>
      <c r="AU133" s="52">
        <f t="shared" si="33"/>
        <v>0</v>
      </c>
      <c r="AV133" s="52">
        <f t="shared" si="33"/>
        <v>0</v>
      </c>
      <c r="AW133" s="52">
        <f t="shared" si="33"/>
        <v>1</v>
      </c>
      <c r="AX133" s="52">
        <f t="shared" si="33"/>
        <v>0</v>
      </c>
    </row>
    <row r="134" spans="2:50" x14ac:dyDescent="0.2">
      <c r="B134" s="47">
        <v>45</v>
      </c>
      <c r="C134" s="52">
        <f t="shared" si="29"/>
        <v>0</v>
      </c>
      <c r="D134" s="52">
        <f t="shared" si="29"/>
        <v>0</v>
      </c>
      <c r="E134" s="52">
        <f t="shared" si="29"/>
        <v>1</v>
      </c>
      <c r="F134" s="52">
        <f t="shared" si="29"/>
        <v>0</v>
      </c>
      <c r="G134" s="52">
        <f t="shared" si="29"/>
        <v>0</v>
      </c>
      <c r="H134" s="52">
        <f t="shared" si="29"/>
        <v>0</v>
      </c>
      <c r="I134" s="52">
        <f t="shared" si="29"/>
        <v>0</v>
      </c>
      <c r="J134" s="52">
        <f t="shared" si="29"/>
        <v>0</v>
      </c>
      <c r="K134" s="52">
        <f t="shared" si="29"/>
        <v>1</v>
      </c>
      <c r="L134" s="52">
        <f t="shared" si="29"/>
        <v>1</v>
      </c>
      <c r="M134" s="52">
        <f t="shared" si="30"/>
        <v>1</v>
      </c>
      <c r="N134" s="52">
        <f t="shared" si="30"/>
        <v>0</v>
      </c>
      <c r="O134" s="52">
        <f t="shared" si="30"/>
        <v>0</v>
      </c>
      <c r="P134" s="52">
        <f t="shared" si="30"/>
        <v>0</v>
      </c>
      <c r="Q134" s="52">
        <f t="shared" si="30"/>
        <v>0</v>
      </c>
      <c r="R134" s="52">
        <f t="shared" si="30"/>
        <v>0</v>
      </c>
      <c r="S134" s="52">
        <f t="shared" si="30"/>
        <v>1</v>
      </c>
      <c r="T134" s="52">
        <f t="shared" si="30"/>
        <v>0</v>
      </c>
      <c r="U134" s="52">
        <f t="shared" si="30"/>
        <v>0</v>
      </c>
      <c r="V134" s="52">
        <f t="shared" si="30"/>
        <v>0</v>
      </c>
      <c r="W134" s="52">
        <f t="shared" si="31"/>
        <v>1</v>
      </c>
      <c r="X134" s="52">
        <f t="shared" si="31"/>
        <v>1</v>
      </c>
      <c r="Y134" s="52">
        <f t="shared" si="31"/>
        <v>1</v>
      </c>
      <c r="Z134" s="52">
        <f t="shared" si="31"/>
        <v>0</v>
      </c>
      <c r="AA134" s="52">
        <f t="shared" si="31"/>
        <v>0</v>
      </c>
      <c r="AB134" s="52">
        <f t="shared" si="31"/>
        <v>1</v>
      </c>
      <c r="AC134" s="52">
        <f t="shared" si="31"/>
        <v>0</v>
      </c>
      <c r="AD134" s="52">
        <f t="shared" si="31"/>
        <v>0</v>
      </c>
      <c r="AE134" s="52">
        <f t="shared" si="31"/>
        <v>1</v>
      </c>
      <c r="AF134" s="52">
        <f t="shared" si="31"/>
        <v>1</v>
      </c>
      <c r="AG134" s="52">
        <f t="shared" si="32"/>
        <v>1</v>
      </c>
      <c r="AH134" s="52">
        <f t="shared" si="32"/>
        <v>0</v>
      </c>
      <c r="AI134" s="52">
        <f t="shared" si="32"/>
        <v>0</v>
      </c>
      <c r="AJ134" s="52">
        <f t="shared" si="32"/>
        <v>0</v>
      </c>
      <c r="AK134" s="52">
        <f t="shared" si="32"/>
        <v>0</v>
      </c>
      <c r="AL134" s="52">
        <f t="shared" si="32"/>
        <v>1</v>
      </c>
      <c r="AM134" s="52">
        <f t="shared" si="32"/>
        <v>0</v>
      </c>
      <c r="AN134" s="52">
        <f t="shared" si="32"/>
        <v>0</v>
      </c>
      <c r="AO134" s="52">
        <f t="shared" si="32"/>
        <v>1</v>
      </c>
      <c r="AP134" s="52">
        <f t="shared" si="32"/>
        <v>1</v>
      </c>
      <c r="AQ134" s="52">
        <f t="shared" si="33"/>
        <v>0</v>
      </c>
      <c r="AR134" s="52">
        <f t="shared" si="33"/>
        <v>1</v>
      </c>
      <c r="AS134" s="52">
        <f t="shared" si="33"/>
        <v>0</v>
      </c>
      <c r="AT134" s="52">
        <f t="shared" si="33"/>
        <v>0</v>
      </c>
      <c r="AU134" s="52">
        <f t="shared" si="33"/>
        <v>1</v>
      </c>
      <c r="AV134" s="52">
        <f t="shared" si="33"/>
        <v>1</v>
      </c>
      <c r="AW134" s="52">
        <f t="shared" si="33"/>
        <v>0</v>
      </c>
      <c r="AX134" s="52">
        <f t="shared" si="33"/>
        <v>1</v>
      </c>
    </row>
    <row r="135" spans="2:50" x14ac:dyDescent="0.2">
      <c r="B135" s="47">
        <v>46</v>
      </c>
      <c r="C135" s="52">
        <f t="shared" si="29"/>
        <v>0</v>
      </c>
      <c r="D135" s="52">
        <f t="shared" si="29"/>
        <v>0</v>
      </c>
      <c r="E135" s="52">
        <f t="shared" si="29"/>
        <v>0</v>
      </c>
      <c r="F135" s="52">
        <f t="shared" si="29"/>
        <v>0</v>
      </c>
      <c r="G135" s="52">
        <f t="shared" si="29"/>
        <v>1</v>
      </c>
      <c r="H135" s="52">
        <f t="shared" si="29"/>
        <v>0</v>
      </c>
      <c r="I135" s="52">
        <f t="shared" si="29"/>
        <v>0</v>
      </c>
      <c r="J135" s="52">
        <f t="shared" si="29"/>
        <v>0</v>
      </c>
      <c r="K135" s="52">
        <f t="shared" si="29"/>
        <v>1</v>
      </c>
      <c r="L135" s="52">
        <f t="shared" si="29"/>
        <v>0</v>
      </c>
      <c r="M135" s="52">
        <f t="shared" si="30"/>
        <v>0</v>
      </c>
      <c r="N135" s="52">
        <f t="shared" si="30"/>
        <v>0</v>
      </c>
      <c r="O135" s="52">
        <f t="shared" si="30"/>
        <v>1</v>
      </c>
      <c r="P135" s="52">
        <f t="shared" si="30"/>
        <v>1</v>
      </c>
      <c r="Q135" s="52">
        <f t="shared" si="30"/>
        <v>0</v>
      </c>
      <c r="R135" s="52">
        <f t="shared" si="30"/>
        <v>0</v>
      </c>
      <c r="S135" s="52">
        <f t="shared" si="30"/>
        <v>0</v>
      </c>
      <c r="T135" s="52">
        <f t="shared" si="30"/>
        <v>0</v>
      </c>
      <c r="U135" s="52">
        <f t="shared" si="30"/>
        <v>0</v>
      </c>
      <c r="V135" s="52">
        <f t="shared" si="30"/>
        <v>0</v>
      </c>
      <c r="W135" s="52">
        <f t="shared" si="31"/>
        <v>0</v>
      </c>
      <c r="X135" s="52">
        <f t="shared" si="31"/>
        <v>1</v>
      </c>
      <c r="Y135" s="52">
        <f t="shared" si="31"/>
        <v>1</v>
      </c>
      <c r="Z135" s="52">
        <f t="shared" si="31"/>
        <v>0</v>
      </c>
      <c r="AA135" s="52">
        <f t="shared" si="31"/>
        <v>0</v>
      </c>
      <c r="AB135" s="52">
        <f t="shared" si="31"/>
        <v>0</v>
      </c>
      <c r="AC135" s="52">
        <f t="shared" si="31"/>
        <v>0</v>
      </c>
      <c r="AD135" s="52">
        <f t="shared" si="31"/>
        <v>0</v>
      </c>
      <c r="AE135" s="52">
        <f t="shared" si="31"/>
        <v>0</v>
      </c>
      <c r="AF135" s="52">
        <f t="shared" si="31"/>
        <v>0</v>
      </c>
      <c r="AG135" s="52">
        <f t="shared" si="32"/>
        <v>0</v>
      </c>
      <c r="AH135" s="52">
        <f t="shared" si="32"/>
        <v>0</v>
      </c>
      <c r="AI135" s="52">
        <f t="shared" si="32"/>
        <v>0</v>
      </c>
      <c r="AJ135" s="52">
        <f t="shared" si="32"/>
        <v>0</v>
      </c>
      <c r="AK135" s="52">
        <f t="shared" si="32"/>
        <v>0</v>
      </c>
      <c r="AL135" s="52">
        <f t="shared" si="32"/>
        <v>0</v>
      </c>
      <c r="AM135" s="52">
        <f t="shared" si="32"/>
        <v>0</v>
      </c>
      <c r="AN135" s="52">
        <f t="shared" si="32"/>
        <v>0</v>
      </c>
      <c r="AO135" s="52">
        <f t="shared" si="32"/>
        <v>0</v>
      </c>
      <c r="AP135" s="52">
        <f t="shared" si="32"/>
        <v>1</v>
      </c>
      <c r="AQ135" s="52">
        <f t="shared" si="33"/>
        <v>0</v>
      </c>
      <c r="AR135" s="52">
        <f t="shared" si="33"/>
        <v>0</v>
      </c>
      <c r="AS135" s="52">
        <f t="shared" si="33"/>
        <v>0</v>
      </c>
      <c r="AT135" s="52">
        <f t="shared" si="33"/>
        <v>0</v>
      </c>
      <c r="AU135" s="52">
        <f t="shared" si="33"/>
        <v>1</v>
      </c>
      <c r="AV135" s="52">
        <f t="shared" si="33"/>
        <v>1</v>
      </c>
      <c r="AW135" s="52">
        <f t="shared" si="33"/>
        <v>0</v>
      </c>
      <c r="AX135" s="52">
        <f t="shared" si="33"/>
        <v>1</v>
      </c>
    </row>
    <row r="136" spans="2:50" x14ac:dyDescent="0.2">
      <c r="B136" s="47">
        <v>47</v>
      </c>
      <c r="C136" s="52">
        <f t="shared" si="29"/>
        <v>1</v>
      </c>
      <c r="D136" s="52">
        <f t="shared" si="29"/>
        <v>1</v>
      </c>
      <c r="E136" s="52">
        <f t="shared" si="29"/>
        <v>1</v>
      </c>
      <c r="F136" s="52">
        <f t="shared" si="29"/>
        <v>1</v>
      </c>
      <c r="G136" s="52">
        <f t="shared" si="29"/>
        <v>0</v>
      </c>
      <c r="H136" s="52">
        <f t="shared" si="29"/>
        <v>0</v>
      </c>
      <c r="I136" s="52">
        <f t="shared" si="29"/>
        <v>0</v>
      </c>
      <c r="J136" s="52">
        <f t="shared" si="29"/>
        <v>0</v>
      </c>
      <c r="K136" s="52">
        <f t="shared" si="29"/>
        <v>0</v>
      </c>
      <c r="L136" s="52">
        <f t="shared" si="29"/>
        <v>1</v>
      </c>
      <c r="M136" s="52">
        <f t="shared" si="30"/>
        <v>0</v>
      </c>
      <c r="N136" s="52">
        <f t="shared" si="30"/>
        <v>0</v>
      </c>
      <c r="O136" s="52">
        <f t="shared" si="30"/>
        <v>1</v>
      </c>
      <c r="P136" s="52">
        <f t="shared" si="30"/>
        <v>1</v>
      </c>
      <c r="Q136" s="52">
        <f t="shared" si="30"/>
        <v>0</v>
      </c>
      <c r="R136" s="52">
        <f t="shared" si="30"/>
        <v>0</v>
      </c>
      <c r="S136" s="52">
        <f t="shared" si="30"/>
        <v>1</v>
      </c>
      <c r="T136" s="52">
        <f t="shared" si="30"/>
        <v>0</v>
      </c>
      <c r="U136" s="52">
        <f t="shared" si="30"/>
        <v>0</v>
      </c>
      <c r="V136" s="52">
        <f t="shared" si="30"/>
        <v>1</v>
      </c>
      <c r="W136" s="52">
        <f t="shared" si="31"/>
        <v>1</v>
      </c>
      <c r="X136" s="52">
        <f t="shared" si="31"/>
        <v>1</v>
      </c>
      <c r="Y136" s="52">
        <f t="shared" si="31"/>
        <v>0</v>
      </c>
      <c r="Z136" s="52">
        <f t="shared" si="31"/>
        <v>1</v>
      </c>
      <c r="AA136" s="52">
        <f t="shared" si="31"/>
        <v>0</v>
      </c>
      <c r="AB136" s="52">
        <f t="shared" si="31"/>
        <v>1</v>
      </c>
      <c r="AC136" s="52">
        <f t="shared" si="31"/>
        <v>0</v>
      </c>
      <c r="AD136" s="52">
        <f t="shared" si="31"/>
        <v>0</v>
      </c>
      <c r="AE136" s="52">
        <f t="shared" si="31"/>
        <v>0</v>
      </c>
      <c r="AF136" s="52">
        <f t="shared" si="31"/>
        <v>1</v>
      </c>
      <c r="AG136" s="52">
        <f t="shared" si="32"/>
        <v>1</v>
      </c>
      <c r="AH136" s="52">
        <f t="shared" si="32"/>
        <v>0</v>
      </c>
      <c r="AI136" s="52">
        <f t="shared" si="32"/>
        <v>1</v>
      </c>
      <c r="AJ136" s="52">
        <f t="shared" si="32"/>
        <v>0</v>
      </c>
      <c r="AK136" s="52">
        <f t="shared" si="32"/>
        <v>1</v>
      </c>
      <c r="AL136" s="52">
        <f t="shared" si="32"/>
        <v>0</v>
      </c>
      <c r="AM136" s="52">
        <f t="shared" si="32"/>
        <v>0</v>
      </c>
      <c r="AN136" s="52">
        <f t="shared" si="32"/>
        <v>0</v>
      </c>
      <c r="AO136" s="52">
        <f t="shared" si="32"/>
        <v>0</v>
      </c>
      <c r="AP136" s="52">
        <f t="shared" si="32"/>
        <v>0</v>
      </c>
      <c r="AQ136" s="52">
        <f t="shared" si="33"/>
        <v>0</v>
      </c>
      <c r="AR136" s="52">
        <f t="shared" si="33"/>
        <v>0</v>
      </c>
      <c r="AS136" s="52">
        <f t="shared" si="33"/>
        <v>0</v>
      </c>
      <c r="AT136" s="52">
        <f t="shared" si="33"/>
        <v>1</v>
      </c>
      <c r="AU136" s="52">
        <f t="shared" si="33"/>
        <v>0</v>
      </c>
      <c r="AV136" s="52">
        <f t="shared" si="33"/>
        <v>0</v>
      </c>
      <c r="AW136" s="52">
        <f t="shared" si="33"/>
        <v>1</v>
      </c>
      <c r="AX136" s="52">
        <f t="shared" si="33"/>
        <v>0</v>
      </c>
    </row>
    <row r="137" spans="2:50" x14ac:dyDescent="0.2">
      <c r="B137" s="47">
        <v>48</v>
      </c>
      <c r="C137" s="52">
        <f t="shared" si="29"/>
        <v>0</v>
      </c>
      <c r="D137" s="52">
        <f t="shared" si="29"/>
        <v>0</v>
      </c>
      <c r="E137" s="52">
        <f t="shared" si="29"/>
        <v>1</v>
      </c>
      <c r="F137" s="52">
        <f t="shared" si="29"/>
        <v>0</v>
      </c>
      <c r="G137" s="52">
        <f t="shared" si="29"/>
        <v>1</v>
      </c>
      <c r="H137" s="52">
        <f t="shared" si="29"/>
        <v>0</v>
      </c>
      <c r="I137" s="52">
        <f t="shared" si="29"/>
        <v>0</v>
      </c>
      <c r="J137" s="52">
        <f t="shared" si="29"/>
        <v>0</v>
      </c>
      <c r="K137" s="52">
        <f t="shared" si="29"/>
        <v>1</v>
      </c>
      <c r="L137" s="52">
        <f t="shared" si="29"/>
        <v>0</v>
      </c>
      <c r="M137" s="52">
        <f t="shared" si="30"/>
        <v>1</v>
      </c>
      <c r="N137" s="52">
        <f t="shared" si="30"/>
        <v>0</v>
      </c>
      <c r="O137" s="52">
        <f t="shared" si="30"/>
        <v>1</v>
      </c>
      <c r="P137" s="52">
        <f t="shared" si="30"/>
        <v>0</v>
      </c>
      <c r="Q137" s="52">
        <f t="shared" si="30"/>
        <v>1</v>
      </c>
      <c r="R137" s="52">
        <f t="shared" si="30"/>
        <v>0</v>
      </c>
      <c r="S137" s="52">
        <f t="shared" si="30"/>
        <v>0</v>
      </c>
      <c r="T137" s="52">
        <f t="shared" si="30"/>
        <v>0</v>
      </c>
      <c r="U137" s="52">
        <f t="shared" si="30"/>
        <v>1</v>
      </c>
      <c r="V137" s="52">
        <f t="shared" si="30"/>
        <v>0</v>
      </c>
      <c r="W137" s="52">
        <f t="shared" si="31"/>
        <v>0</v>
      </c>
      <c r="X137" s="52">
        <f t="shared" si="31"/>
        <v>1</v>
      </c>
      <c r="Y137" s="52">
        <f t="shared" si="31"/>
        <v>0</v>
      </c>
      <c r="Z137" s="52">
        <f t="shared" si="31"/>
        <v>1</v>
      </c>
      <c r="AA137" s="52">
        <f t="shared" si="31"/>
        <v>0</v>
      </c>
      <c r="AB137" s="52">
        <f t="shared" si="31"/>
        <v>1</v>
      </c>
      <c r="AC137" s="52">
        <f t="shared" si="31"/>
        <v>1</v>
      </c>
      <c r="AD137" s="52">
        <f t="shared" si="31"/>
        <v>0</v>
      </c>
      <c r="AE137" s="52">
        <f t="shared" si="31"/>
        <v>0</v>
      </c>
      <c r="AF137" s="52">
        <f t="shared" si="31"/>
        <v>0</v>
      </c>
      <c r="AG137" s="52">
        <f t="shared" si="32"/>
        <v>0</v>
      </c>
      <c r="AH137" s="52">
        <f t="shared" si="32"/>
        <v>0</v>
      </c>
      <c r="AI137" s="52">
        <f t="shared" si="32"/>
        <v>0</v>
      </c>
      <c r="AJ137" s="52">
        <f t="shared" si="32"/>
        <v>0</v>
      </c>
      <c r="AK137" s="52">
        <f t="shared" si="32"/>
        <v>1</v>
      </c>
      <c r="AL137" s="52">
        <f t="shared" si="32"/>
        <v>0</v>
      </c>
      <c r="AM137" s="52">
        <f t="shared" si="32"/>
        <v>0</v>
      </c>
      <c r="AN137" s="52">
        <f t="shared" si="32"/>
        <v>0</v>
      </c>
      <c r="AO137" s="52">
        <f t="shared" si="32"/>
        <v>1</v>
      </c>
      <c r="AP137" s="52">
        <f t="shared" si="32"/>
        <v>1</v>
      </c>
      <c r="AQ137" s="52">
        <f t="shared" si="33"/>
        <v>0</v>
      </c>
      <c r="AR137" s="52">
        <f t="shared" si="33"/>
        <v>0</v>
      </c>
      <c r="AS137" s="52">
        <f t="shared" si="33"/>
        <v>0</v>
      </c>
      <c r="AT137" s="52">
        <f t="shared" si="33"/>
        <v>0</v>
      </c>
      <c r="AU137" s="52">
        <f t="shared" si="33"/>
        <v>1</v>
      </c>
      <c r="AV137" s="52">
        <f t="shared" si="33"/>
        <v>1</v>
      </c>
      <c r="AW137" s="52">
        <f t="shared" si="33"/>
        <v>0</v>
      </c>
      <c r="AX137" s="52">
        <f t="shared" si="33"/>
        <v>1</v>
      </c>
    </row>
  </sheetData>
  <phoneticPr fontId="0" type="noConversion"/>
  <pageMargins left="0.75" right="0.75" top="1" bottom="1" header="0.5" footer="0.5"/>
  <pageSetup paperSize="9" scale="42" orientation="landscape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coursework</vt:lpstr>
      <vt:lpstr>data</vt:lpstr>
      <vt:lpstr>eventEvent</vt:lpstr>
      <vt:lpstr>eventFeature</vt:lpstr>
      <vt:lpstr>eventMeta</vt:lpstr>
      <vt:lpstr>eventStudent</vt:lpstr>
      <vt:lpstr>coursework!Print_Area</vt:lpstr>
      <vt:lpstr>problem</vt:lpstr>
      <vt:lpstr>roomEvent</vt:lpstr>
      <vt:lpstr>rooms</vt:lpstr>
    </vt:vector>
  </TitlesOfParts>
  <Company>School of Computing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Gaw</dc:creator>
  <cp:lastModifiedBy>Fanhui Meng</cp:lastModifiedBy>
  <cp:lastPrinted>2005-03-03T12:41:39Z</cp:lastPrinted>
  <dcterms:created xsi:type="dcterms:W3CDTF">2004-02-04T11:36:21Z</dcterms:created>
  <dcterms:modified xsi:type="dcterms:W3CDTF">2020-03-22T17:54:06Z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1937514080</vt:i4>
  </property>
  <property fmtid="{D5CDD505-2E9C-101B-9397-08002B2CF9AE}" pid="3" name="_EmailSubject">
    <vt:lpwstr>or33</vt:lpwstr>
  </property>
  <property fmtid="{D5CDD505-2E9C-101B-9397-08002B2CF9AE}" pid="4" name="_AuthorEmail">
    <vt:lpwstr>prapa@comp.leeds.ac.uk</vt:lpwstr>
  </property>
  <property fmtid="{D5CDD505-2E9C-101B-9397-08002B2CF9AE}" pid="5" name="_AuthorEmailDisplayName">
    <vt:lpwstr>prapa</vt:lpwstr>
  </property>
  <property fmtid="{D5CDD505-2E9C-101B-9397-08002B2CF9AE}" pid="6" name="_ReviewingToolsShownOnce">
    <vt:lpwstr/>
  </property>
</Properties>
</file>